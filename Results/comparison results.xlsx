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erusso/Documents/GitHub/Cybersecurity_Project/Results/"/>
    </mc:Choice>
  </mc:AlternateContent>
  <xr:revisionPtr revIDLastSave="0" documentId="13_ncr:1_{842982BC-5081-FC4D-B83B-97772EBEABCF}" xr6:coauthVersionLast="47" xr6:coauthVersionMax="47" xr10:uidLastSave="{00000000-0000-0000-0000-000000000000}"/>
  <bookViews>
    <workbookView xWindow="0" yWindow="500" windowWidth="28800" windowHeight="15780" xr2:uid="{533EED6B-4744-8741-97A2-793B71DDF7A5}"/>
  </bookViews>
  <sheets>
    <sheet name="Mac" sheetId="2" r:id="rId1"/>
    <sheet name="Clu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2"/>
  <c r="P2" i="2"/>
  <c r="O2" i="2"/>
  <c r="S2" i="2"/>
  <c r="AC22" i="2"/>
  <c r="AD22" i="2" s="1"/>
  <c r="AA22" i="2"/>
  <c r="AB22" i="2" s="1"/>
  <c r="Y22" i="2"/>
  <c r="Z22" i="2" s="1"/>
  <c r="W22" i="2"/>
  <c r="X22" i="2" s="1"/>
  <c r="U22" i="2"/>
  <c r="V22" i="2" s="1"/>
  <c r="S22" i="2"/>
  <c r="T22" i="2" s="1"/>
  <c r="AC21" i="2"/>
  <c r="AD21" i="2" s="1"/>
  <c r="AA21" i="2"/>
  <c r="AB21" i="2" s="1"/>
  <c r="Y21" i="2"/>
  <c r="Z21" i="2" s="1"/>
  <c r="W21" i="2"/>
  <c r="X21" i="2" s="1"/>
  <c r="U21" i="2"/>
  <c r="V21" i="2" s="1"/>
  <c r="S21" i="2"/>
  <c r="T21" i="2" s="1"/>
  <c r="AC20" i="2"/>
  <c r="AD20" i="2" s="1"/>
  <c r="AA20" i="2"/>
  <c r="AB20" i="2" s="1"/>
  <c r="Y20" i="2"/>
  <c r="Z20" i="2" s="1"/>
  <c r="W20" i="2"/>
  <c r="X20" i="2" s="1"/>
  <c r="U20" i="2"/>
  <c r="V20" i="2" s="1"/>
  <c r="S20" i="2"/>
  <c r="T20" i="2" s="1"/>
  <c r="AC19" i="2"/>
  <c r="AD19" i="2" s="1"/>
  <c r="AA19" i="2"/>
  <c r="AB19" i="2" s="1"/>
  <c r="Y19" i="2"/>
  <c r="Z19" i="2" s="1"/>
  <c r="W19" i="2"/>
  <c r="X19" i="2" s="1"/>
  <c r="U19" i="2"/>
  <c r="V19" i="2" s="1"/>
  <c r="S19" i="2"/>
  <c r="T19" i="2" s="1"/>
  <c r="AC18" i="2"/>
  <c r="AD18" i="2" s="1"/>
  <c r="AA18" i="2"/>
  <c r="AB18" i="2" s="1"/>
  <c r="Y18" i="2"/>
  <c r="Z18" i="2" s="1"/>
  <c r="W18" i="2"/>
  <c r="X18" i="2" s="1"/>
  <c r="U18" i="2"/>
  <c r="V18" i="2" s="1"/>
  <c r="S18" i="2"/>
  <c r="T18" i="2" s="1"/>
  <c r="AC17" i="2"/>
  <c r="AD17" i="2" s="1"/>
  <c r="AA17" i="2"/>
  <c r="AB17" i="2" s="1"/>
  <c r="Y17" i="2"/>
  <c r="Z17" i="2" s="1"/>
  <c r="W17" i="2"/>
  <c r="X17" i="2" s="1"/>
  <c r="U17" i="2"/>
  <c r="V17" i="2" s="1"/>
  <c r="S17" i="2"/>
  <c r="T17" i="2" s="1"/>
  <c r="AC16" i="2"/>
  <c r="AD16" i="2" s="1"/>
  <c r="AA16" i="2"/>
  <c r="AB16" i="2" s="1"/>
  <c r="Y16" i="2"/>
  <c r="Z16" i="2" s="1"/>
  <c r="W16" i="2"/>
  <c r="X16" i="2" s="1"/>
  <c r="U16" i="2"/>
  <c r="V16" i="2" s="1"/>
  <c r="S16" i="2"/>
  <c r="T16" i="2" s="1"/>
  <c r="AC15" i="2"/>
  <c r="AD15" i="2" s="1"/>
  <c r="AA15" i="2"/>
  <c r="AB15" i="2" s="1"/>
  <c r="Y15" i="2"/>
  <c r="Z15" i="2" s="1"/>
  <c r="W15" i="2"/>
  <c r="X15" i="2" s="1"/>
  <c r="U15" i="2"/>
  <c r="V15" i="2" s="1"/>
  <c r="S15" i="2"/>
  <c r="T15" i="2" s="1"/>
  <c r="AC14" i="2"/>
  <c r="AD14" i="2" s="1"/>
  <c r="AA14" i="2"/>
  <c r="AB14" i="2" s="1"/>
  <c r="Y14" i="2"/>
  <c r="Z14" i="2" s="1"/>
  <c r="W14" i="2"/>
  <c r="X14" i="2" s="1"/>
  <c r="U14" i="2"/>
  <c r="V14" i="2" s="1"/>
  <c r="S14" i="2"/>
  <c r="T14" i="2" s="1"/>
  <c r="AC13" i="2"/>
  <c r="AD13" i="2" s="1"/>
  <c r="AA13" i="2"/>
  <c r="AB13" i="2" s="1"/>
  <c r="Y13" i="2"/>
  <c r="Z13" i="2" s="1"/>
  <c r="W13" i="2"/>
  <c r="X13" i="2" s="1"/>
  <c r="U13" i="2"/>
  <c r="V13" i="2" s="1"/>
  <c r="S13" i="2"/>
  <c r="T13" i="2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13" i="1"/>
  <c r="AD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13" i="1"/>
  <c r="AB13" i="1" s="1"/>
  <c r="Z15" i="1"/>
  <c r="Z13" i="1"/>
  <c r="Y14" i="1"/>
  <c r="Z14" i="1" s="1"/>
  <c r="Y15" i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13" i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13" i="1"/>
  <c r="X13" i="1" s="1"/>
  <c r="S13" i="1"/>
  <c r="T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13" i="1"/>
  <c r="V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" i="1"/>
  <c r="T2" i="1" s="1"/>
  <c r="P2" i="1"/>
  <c r="Q2" i="2"/>
  <c r="R2" i="2"/>
  <c r="T2" i="2"/>
  <c r="U2" i="2"/>
  <c r="V2" i="2"/>
  <c r="W2" i="2"/>
  <c r="X2" i="2" s="1"/>
  <c r="Y2" i="2"/>
  <c r="Z2" i="2" s="1"/>
  <c r="AA2" i="2"/>
  <c r="AB2" i="2" s="1"/>
  <c r="AC2" i="2"/>
  <c r="AD2" i="2"/>
  <c r="O7" i="2"/>
  <c r="P7" i="2" s="1"/>
  <c r="Q7" i="2"/>
  <c r="R7" i="2" s="1"/>
  <c r="S7" i="2"/>
  <c r="T7" i="2" s="1"/>
  <c r="U7" i="2"/>
  <c r="V7" i="2" s="1"/>
  <c r="W7" i="2"/>
  <c r="X7" i="2" s="1"/>
  <c r="Y7" i="2"/>
  <c r="Z7" i="2" s="1"/>
  <c r="AA7" i="2"/>
  <c r="AB7" i="2" s="1"/>
  <c r="AC7" i="2"/>
  <c r="AD7" i="2"/>
  <c r="P3" i="2"/>
  <c r="Y3" i="2"/>
  <c r="Z3" i="2" s="1"/>
  <c r="Y4" i="2"/>
  <c r="Z4" i="2" s="1"/>
  <c r="AA3" i="2"/>
  <c r="AA4" i="2"/>
  <c r="AB4" i="2" s="1"/>
  <c r="AA5" i="2"/>
  <c r="AB5" i="2" s="1"/>
  <c r="AA6" i="2"/>
  <c r="AB6" i="2" s="1"/>
  <c r="AA8" i="2"/>
  <c r="AB8" i="2" s="1"/>
  <c r="AA9" i="2"/>
  <c r="AB9" i="2" s="1"/>
  <c r="AA10" i="2"/>
  <c r="AB10" i="2" s="1"/>
  <c r="AA11" i="2"/>
  <c r="AB11" i="2" s="1"/>
  <c r="Y5" i="2"/>
  <c r="Z5" i="2" s="1"/>
  <c r="Y6" i="2"/>
  <c r="Z6" i="2" s="1"/>
  <c r="Y8" i="2"/>
  <c r="Z8" i="2" s="1"/>
  <c r="Y9" i="2"/>
  <c r="Z9" i="2" s="1"/>
  <c r="Y10" i="2"/>
  <c r="Z10" i="2" s="1"/>
  <c r="Y11" i="2"/>
  <c r="Z11" i="2" s="1"/>
  <c r="AC11" i="2"/>
  <c r="AD11" i="2" s="1"/>
  <c r="W11" i="2"/>
  <c r="X11" i="2" s="1"/>
  <c r="U11" i="2"/>
  <c r="V11" i="2" s="1"/>
  <c r="S11" i="2"/>
  <c r="T11" i="2" s="1"/>
  <c r="Q11" i="2"/>
  <c r="R11" i="2" s="1"/>
  <c r="O11" i="2"/>
  <c r="P11" i="2" s="1"/>
  <c r="AC10" i="2"/>
  <c r="AD10" i="2" s="1"/>
  <c r="W10" i="2"/>
  <c r="X10" i="2" s="1"/>
  <c r="U10" i="2"/>
  <c r="V10" i="2" s="1"/>
  <c r="S10" i="2"/>
  <c r="T10" i="2" s="1"/>
  <c r="Q10" i="2"/>
  <c r="R10" i="2" s="1"/>
  <c r="O10" i="2"/>
  <c r="P10" i="2" s="1"/>
  <c r="AC9" i="2"/>
  <c r="AD9" i="2" s="1"/>
  <c r="W9" i="2"/>
  <c r="X9" i="2" s="1"/>
  <c r="U9" i="2"/>
  <c r="V9" i="2" s="1"/>
  <c r="S9" i="2"/>
  <c r="T9" i="2" s="1"/>
  <c r="Q9" i="2"/>
  <c r="R9" i="2" s="1"/>
  <c r="O9" i="2"/>
  <c r="P9" i="2" s="1"/>
  <c r="AC8" i="2"/>
  <c r="AD8" i="2" s="1"/>
  <c r="W8" i="2"/>
  <c r="X8" i="2" s="1"/>
  <c r="U8" i="2"/>
  <c r="V8" i="2" s="1"/>
  <c r="S8" i="2"/>
  <c r="T8" i="2" s="1"/>
  <c r="Q8" i="2"/>
  <c r="R8" i="2" s="1"/>
  <c r="O8" i="2"/>
  <c r="P8" i="2" s="1"/>
  <c r="AC6" i="2"/>
  <c r="AD6" i="2" s="1"/>
  <c r="W6" i="2"/>
  <c r="X6" i="2" s="1"/>
  <c r="U6" i="2"/>
  <c r="V6" i="2" s="1"/>
  <c r="S6" i="2"/>
  <c r="T6" i="2" s="1"/>
  <c r="Q6" i="2"/>
  <c r="R6" i="2" s="1"/>
  <c r="O6" i="2"/>
  <c r="P6" i="2" s="1"/>
  <c r="AC5" i="2"/>
  <c r="AD5" i="2" s="1"/>
  <c r="W5" i="2"/>
  <c r="X5" i="2" s="1"/>
  <c r="U5" i="2"/>
  <c r="V5" i="2" s="1"/>
  <c r="S5" i="2"/>
  <c r="T5" i="2" s="1"/>
  <c r="Q5" i="2"/>
  <c r="R5" i="2" s="1"/>
  <c r="O5" i="2"/>
  <c r="P5" i="2" s="1"/>
  <c r="AC4" i="2"/>
  <c r="AD4" i="2" s="1"/>
  <c r="W4" i="2"/>
  <c r="X4" i="2" s="1"/>
  <c r="U4" i="2"/>
  <c r="V4" i="2" s="1"/>
  <c r="S4" i="2"/>
  <c r="T4" i="2" s="1"/>
  <c r="Q4" i="2"/>
  <c r="R4" i="2" s="1"/>
  <c r="O4" i="2"/>
  <c r="P4" i="2" s="1"/>
  <c r="AC3" i="2"/>
  <c r="AD3" i="2" s="1"/>
  <c r="AB3" i="2"/>
  <c r="W3" i="2"/>
  <c r="X3" i="2" s="1"/>
  <c r="U3" i="2"/>
  <c r="V3" i="2" s="1"/>
  <c r="S3" i="2"/>
  <c r="T3" i="2" s="1"/>
  <c r="Q3" i="2"/>
  <c r="R3" i="2" s="1"/>
  <c r="AC3" i="1"/>
  <c r="AD3" i="1" s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2" i="1"/>
  <c r="AD2" i="1" s="1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2" i="1"/>
  <c r="AB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2" i="1"/>
  <c r="Z2" i="1" s="1"/>
  <c r="W2" i="1"/>
  <c r="X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U2" i="1"/>
  <c r="V2" i="1" s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2" i="1"/>
  <c r="R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</calcChain>
</file>

<file path=xl/sharedStrings.xml><?xml version="1.0" encoding="utf-8"?>
<sst xmlns="http://schemas.openxmlformats.org/spreadsheetml/2006/main" count="104" uniqueCount="36">
  <si>
    <t>poison_rate</t>
  </si>
  <si>
    <t>poison_rate_pct</t>
  </si>
  <si>
    <t>trigger_size</t>
  </si>
  <si>
    <t>config_id</t>
  </si>
  <si>
    <t>clean_accuracy</t>
  </si>
  <si>
    <t>clean_f1</t>
  </si>
  <si>
    <t>backdoor_accuracy</t>
  </si>
  <si>
    <t>backdoor_f1</t>
  </si>
  <si>
    <t>iso_accuracy</t>
  </si>
  <si>
    <t>iso_f1</t>
  </si>
  <si>
    <t>pruned_accuracy</t>
  </si>
  <si>
    <t>pruned_f1</t>
  </si>
  <si>
    <t>noisy_accuracy</t>
  </si>
  <si>
    <t>noisy_f1</t>
  </si>
  <si>
    <t>P1_T16</t>
  </si>
  <si>
    <t>P1_T32</t>
  </si>
  <si>
    <t>P1_T48</t>
  </si>
  <si>
    <t>P1_T64</t>
  </si>
  <si>
    <t>P1_T128</t>
  </si>
  <si>
    <t>P3_T16</t>
  </si>
  <si>
    <t>P3_T32</t>
  </si>
  <si>
    <t>P3_T48</t>
  </si>
  <si>
    <t>P3_T64</t>
  </si>
  <si>
    <t>P3_T128</t>
  </si>
  <si>
    <t>diff acc</t>
  </si>
  <si>
    <t>diff acc prc</t>
  </si>
  <si>
    <t>diff f1 pec</t>
  </si>
  <si>
    <t>iso acc diff</t>
  </si>
  <si>
    <t>iso acc ptc</t>
  </si>
  <si>
    <t>iso f1 diff</t>
  </si>
  <si>
    <t>iso f1 pec</t>
  </si>
  <si>
    <t>pruned acc diff</t>
  </si>
  <si>
    <t>pruned acc dif pct</t>
  </si>
  <si>
    <t>diff f1</t>
  </si>
  <si>
    <t>pruned f1 diff</t>
  </si>
  <si>
    <t>pruned f1 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</si>
</sst>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165" fontId="0" fillId="4" borderId="1" xfId="0" applyNumberFormat="1" applyFill="1" applyBorder="1"/>
    <xf numFmtId="165" fontId="0" fillId="3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7" borderId="1" xfId="0" applyNumberFormat="1" applyFill="1" applyBorder="1"/>
    <xf numFmtId="0" fontId="2" fillId="0" borderId="0" xfId="0" applyFont="1"/>
    <xf numFmtId="165" fontId="3" fillId="11" borderId="1" xfId="0" applyNumberFormat="1" applyFont="1" applyFill="1" applyBorder="1"/>
    <xf numFmtId="10" fontId="2" fillId="11" borderId="1" xfId="1" applyNumberFormat="1" applyFont="1" applyFill="1" applyBorder="1"/>
    <xf numFmtId="10" fontId="2" fillId="10" borderId="1" xfId="1" applyNumberFormat="1" applyFont="1" applyFill="1" applyBorder="1"/>
    <xf numFmtId="10" fontId="2" fillId="9" borderId="1" xfId="1" applyNumberFormat="1" applyFont="1" applyFill="1" applyBorder="1"/>
    <xf numFmtId="10" fontId="2" fillId="2" borderId="1" xfId="1" applyNumberFormat="1" applyFont="1" applyFill="1" applyBorder="1"/>
    <xf numFmtId="165" fontId="3" fillId="10" borderId="1" xfId="0" applyNumberFormat="1" applyFont="1" applyFill="1" applyBorder="1"/>
    <xf numFmtId="165" fontId="3" fillId="9" borderId="1" xfId="0" applyNumberFormat="1" applyFont="1" applyFill="1" applyBorder="1"/>
    <xf numFmtId="165" fontId="3" fillId="8" borderId="1" xfId="0" applyNumberFormat="1" applyFont="1" applyFill="1" applyBorder="1"/>
    <xf numFmtId="165" fontId="3" fillId="9" borderId="2" xfId="0" applyNumberFormat="1" applyFont="1" applyFill="1" applyBorder="1"/>
    <xf numFmtId="10" fontId="2" fillId="9" borderId="2" xfId="1" applyNumberFormat="1" applyFont="1" applyFill="1" applyBorder="1"/>
    <xf numFmtId="165" fontId="3" fillId="10" borderId="2" xfId="0" applyNumberFormat="1" applyFont="1" applyFill="1" applyBorder="1"/>
    <xf numFmtId="10" fontId="2" fillId="10" borderId="2" xfId="1" applyNumberFormat="1" applyFont="1" applyFill="1" applyBorder="1"/>
    <xf numFmtId="165" fontId="3" fillId="11" borderId="2" xfId="0" applyNumberFormat="1" applyFont="1" applyFill="1" applyBorder="1"/>
    <xf numFmtId="10" fontId="2" fillId="11" borderId="2" xfId="1" applyNumberFormat="1" applyFont="1" applyFill="1" applyBorder="1"/>
    <xf numFmtId="2" fontId="0" fillId="0" borderId="3" xfId="0" applyNumberFormat="1" applyBorder="1"/>
    <xf numFmtId="2" fontId="0" fillId="0" borderId="4" xfId="0" applyNumberFormat="1" applyBorder="1"/>
    <xf numFmtId="165" fontId="0" fillId="4" borderId="4" xfId="0" applyNumberFormat="1" applyFill="1" applyBorder="1"/>
    <xf numFmtId="165" fontId="0" fillId="3" borderId="4" xfId="0" applyNumberFormat="1" applyFill="1" applyBorder="1"/>
    <xf numFmtId="165" fontId="0" fillId="5" borderId="4" xfId="0" applyNumberFormat="1" applyFill="1" applyBorder="1"/>
    <xf numFmtId="165" fontId="0" fillId="6" borderId="4" xfId="0" applyNumberFormat="1" applyFill="1" applyBorder="1"/>
    <xf numFmtId="165" fontId="0" fillId="7" borderId="4" xfId="0" applyNumberFormat="1" applyFill="1" applyBorder="1"/>
    <xf numFmtId="10" fontId="2" fillId="2" borderId="4" xfId="1" applyNumberFormat="1" applyFont="1" applyFill="1" applyBorder="1"/>
    <xf numFmtId="165" fontId="3" fillId="8" borderId="4" xfId="0" applyNumberFormat="1" applyFont="1" applyFill="1" applyBorder="1"/>
    <xf numFmtId="165" fontId="3" fillId="9" borderId="4" xfId="0" applyNumberFormat="1" applyFont="1" applyFill="1" applyBorder="1"/>
    <xf numFmtId="10" fontId="2" fillId="9" borderId="4" xfId="1" applyNumberFormat="1" applyFont="1" applyFill="1" applyBorder="1"/>
    <xf numFmtId="165" fontId="3" fillId="10" borderId="4" xfId="0" applyNumberFormat="1" applyFont="1" applyFill="1" applyBorder="1"/>
    <xf numFmtId="10" fontId="2" fillId="10" borderId="4" xfId="1" applyNumberFormat="1" applyFont="1" applyFill="1" applyBorder="1"/>
    <xf numFmtId="165" fontId="3" fillId="11" borderId="4" xfId="0" applyNumberFormat="1" applyFont="1" applyFill="1" applyBorder="1"/>
    <xf numFmtId="10" fontId="2" fillId="11" borderId="4" xfId="1" applyNumberFormat="1" applyFont="1" applyFill="1" applyBorder="1"/>
    <xf numFmtId="10" fontId="2" fillId="11" borderId="5" xfId="1" applyNumberFormat="1" applyFont="1" applyFill="1" applyBorder="1"/>
    <xf numFmtId="2" fontId="0" fillId="0" borderId="6" xfId="0" applyNumberFormat="1" applyBorder="1"/>
    <xf numFmtId="10" fontId="2" fillId="11" borderId="7" xfId="1" applyNumberFormat="1" applyFont="1" applyFill="1" applyBorder="1"/>
    <xf numFmtId="2" fontId="0" fillId="0" borderId="8" xfId="0" applyNumberFormat="1" applyBorder="1"/>
    <xf numFmtId="2" fontId="0" fillId="0" borderId="9" xfId="0" applyNumberFormat="1" applyBorder="1"/>
    <xf numFmtId="165" fontId="0" fillId="4" borderId="9" xfId="0" applyNumberFormat="1" applyFill="1" applyBorder="1"/>
    <xf numFmtId="165" fontId="0" fillId="3" borderId="9" xfId="0" applyNumberFormat="1" applyFill="1" applyBorder="1"/>
    <xf numFmtId="165" fontId="0" fillId="5" borderId="9" xfId="0" applyNumberFormat="1" applyFill="1" applyBorder="1"/>
    <xf numFmtId="165" fontId="0" fillId="6" borderId="9" xfId="0" applyNumberFormat="1" applyFill="1" applyBorder="1"/>
    <xf numFmtId="165" fontId="0" fillId="7" borderId="9" xfId="0" applyNumberFormat="1" applyFill="1" applyBorder="1"/>
    <xf numFmtId="10" fontId="2" fillId="2" borderId="9" xfId="1" applyNumberFormat="1" applyFont="1" applyFill="1" applyBorder="1"/>
    <xf numFmtId="165" fontId="3" fillId="8" borderId="9" xfId="0" applyNumberFormat="1" applyFont="1" applyFill="1" applyBorder="1"/>
    <xf numFmtId="165" fontId="3" fillId="9" borderId="9" xfId="0" applyNumberFormat="1" applyFont="1" applyFill="1" applyBorder="1"/>
    <xf numFmtId="10" fontId="2" fillId="9" borderId="9" xfId="1" applyNumberFormat="1" applyFont="1" applyFill="1" applyBorder="1"/>
    <xf numFmtId="165" fontId="3" fillId="10" borderId="9" xfId="0" applyNumberFormat="1" applyFont="1" applyFill="1" applyBorder="1"/>
    <xf numFmtId="10" fontId="2" fillId="10" borderId="9" xfId="1" applyNumberFormat="1" applyFont="1" applyFill="1" applyBorder="1"/>
    <xf numFmtId="165" fontId="3" fillId="11" borderId="9" xfId="0" applyNumberFormat="1" applyFont="1" applyFill="1" applyBorder="1"/>
    <xf numFmtId="10" fontId="2" fillId="11" borderId="9" xfId="1" applyNumberFormat="1" applyFont="1" applyFill="1" applyBorder="1"/>
    <xf numFmtId="10" fontId="2" fillId="11" borderId="10" xfId="1" applyNumberFormat="1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/>
    <xf numFmtId="165" fontId="0" fillId="7" borderId="12" xfId="0" applyNumberFormat="1" applyFill="1" applyBorder="1"/>
    <xf numFmtId="165" fontId="0" fillId="7" borderId="13" xfId="0" applyNumberFormat="1" applyFill="1" applyBorder="1"/>
    <xf numFmtId="165" fontId="0" fillId="7" borderId="11" xfId="0" applyNumberFormat="1" applyFill="1" applyBorder="1"/>
    <xf numFmtId="164" fontId="3" fillId="2" borderId="6" xfId="0" applyNumberFormat="1" applyFont="1" applyFill="1" applyBorder="1"/>
    <xf numFmtId="10" fontId="2" fillId="8" borderId="7" xfId="1" applyNumberFormat="1" applyFont="1" applyFill="1" applyBorder="1"/>
    <xf numFmtId="164" fontId="3" fillId="2" borderId="8" xfId="0" applyNumberFormat="1" applyFont="1" applyFill="1" applyBorder="1"/>
    <xf numFmtId="10" fontId="2" fillId="8" borderId="10" xfId="1" applyNumberFormat="1" applyFont="1" applyFill="1" applyBorder="1"/>
    <xf numFmtId="164" fontId="3" fillId="2" borderId="3" xfId="0" applyNumberFormat="1" applyFont="1" applyFill="1" applyBorder="1"/>
    <xf numFmtId="10" fontId="2" fillId="8" borderId="5" xfId="1" applyNumberFormat="1" applyFont="1" applyFill="1" applyBorder="1"/>
    <xf numFmtId="165" fontId="3" fillId="9" borderId="6" xfId="0" applyNumberFormat="1" applyFont="1" applyFill="1" applyBorder="1"/>
    <xf numFmtId="10" fontId="2" fillId="9" borderId="7" xfId="1" applyNumberFormat="1" applyFont="1" applyFill="1" applyBorder="1"/>
    <xf numFmtId="165" fontId="3" fillId="9" borderId="8" xfId="0" applyNumberFormat="1" applyFont="1" applyFill="1" applyBorder="1"/>
    <xf numFmtId="10" fontId="2" fillId="9" borderId="10" xfId="1" applyNumberFormat="1" applyFont="1" applyFill="1" applyBorder="1"/>
    <xf numFmtId="165" fontId="3" fillId="9" borderId="3" xfId="0" applyNumberFormat="1" applyFont="1" applyFill="1" applyBorder="1"/>
    <xf numFmtId="10" fontId="2" fillId="9" borderId="5" xfId="1" applyNumberFormat="1" applyFont="1" applyFill="1" applyBorder="1"/>
    <xf numFmtId="165" fontId="3" fillId="11" borderId="15" xfId="0" applyNumberFormat="1" applyFont="1" applyFill="1" applyBorder="1"/>
    <xf numFmtId="165" fontId="3" fillId="11" borderId="16" xfId="0" applyNumberFormat="1" applyFont="1" applyFill="1" applyBorder="1"/>
    <xf numFmtId="165" fontId="3" fillId="11" borderId="14" xfId="0" applyNumberFormat="1" applyFont="1" applyFill="1" applyBorder="1"/>
    <xf numFmtId="165" fontId="3" fillId="10" borderId="6" xfId="0" applyNumberFormat="1" applyFont="1" applyFill="1" applyBorder="1"/>
    <xf numFmtId="10" fontId="2" fillId="10" borderId="7" xfId="1" applyNumberFormat="1" applyFont="1" applyFill="1" applyBorder="1"/>
    <xf numFmtId="165" fontId="3" fillId="10" borderId="8" xfId="0" applyNumberFormat="1" applyFont="1" applyFill="1" applyBorder="1"/>
    <xf numFmtId="10" fontId="2" fillId="10" borderId="10" xfId="1" applyNumberFormat="1" applyFont="1" applyFill="1" applyBorder="1"/>
    <xf numFmtId="165" fontId="3" fillId="10" borderId="3" xfId="0" applyNumberFormat="1" applyFont="1" applyFill="1" applyBorder="1"/>
    <xf numFmtId="10" fontId="2" fillId="10" borderId="5" xfId="1" applyNumberFormat="1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8" borderId="18" xfId="0" applyFont="1" applyFill="1" applyBorder="1"/>
    <xf numFmtId="0" fontId="2" fillId="8" borderId="19" xfId="0" applyFont="1" applyFill="1" applyBorder="1"/>
    <xf numFmtId="0" fontId="2" fillId="9" borderId="17" xfId="0" applyFont="1" applyFill="1" applyBorder="1"/>
    <xf numFmtId="0" fontId="2" fillId="9" borderId="18" xfId="0" applyFont="1" applyFill="1" applyBorder="1"/>
    <xf numFmtId="0" fontId="2" fillId="9" borderId="19" xfId="0" applyFont="1" applyFill="1" applyBorder="1"/>
    <xf numFmtId="0" fontId="2" fillId="10" borderId="17" xfId="0" applyFont="1" applyFill="1" applyBorder="1"/>
    <xf numFmtId="0" fontId="2" fillId="10" borderId="18" xfId="0" applyFont="1" applyFill="1" applyBorder="1"/>
    <xf numFmtId="0" fontId="2" fillId="10" borderId="19" xfId="0" applyFont="1" applyFill="1" applyBorder="1"/>
    <xf numFmtId="0" fontId="2" fillId="11" borderId="20" xfId="0" applyFont="1" applyFill="1" applyBorder="1"/>
    <xf numFmtId="0" fontId="2" fillId="11" borderId="18" xfId="0" applyFont="1" applyFill="1" applyBorder="1"/>
    <xf numFmtId="0" fontId="2" fillId="11" borderId="19" xfId="0" applyFont="1" applyFill="1" applyBorder="1"/>
    <xf numFmtId="2" fontId="0" fillId="0" borderId="12" xfId="0" applyNumberFormat="1" applyBorder="1"/>
    <xf numFmtId="164" fontId="3" fillId="2" borderId="15" xfId="0" applyNumberFormat="1" applyFont="1" applyFill="1" applyBorder="1"/>
    <xf numFmtId="164" fontId="3" fillId="2" borderId="16" xfId="0" applyNumberFormat="1" applyFont="1" applyFill="1" applyBorder="1"/>
    <xf numFmtId="2" fontId="0" fillId="0" borderId="22" xfId="0" applyNumberFormat="1" applyBorder="1"/>
    <xf numFmtId="0" fontId="2" fillId="9" borderId="21" xfId="0" applyFont="1" applyFill="1" applyBorder="1"/>
    <xf numFmtId="0" fontId="2" fillId="10" borderId="21" xfId="0" applyFont="1" applyFill="1" applyBorder="1"/>
    <xf numFmtId="0" fontId="2" fillId="11" borderId="21" xfId="0" applyFont="1" applyFill="1" applyBorder="1"/>
    <xf numFmtId="165" fontId="3" fillId="9" borderId="21" xfId="0" applyNumberFormat="1" applyFont="1" applyFill="1" applyBorder="1"/>
    <xf numFmtId="10" fontId="2" fillId="9" borderId="21" xfId="1" applyNumberFormat="1" applyFont="1" applyFill="1" applyBorder="1"/>
    <xf numFmtId="165" fontId="3" fillId="10" borderId="21" xfId="0" applyNumberFormat="1" applyFont="1" applyFill="1" applyBorder="1"/>
    <xf numFmtId="10" fontId="2" fillId="10" borderId="21" xfId="1" applyNumberFormat="1" applyFont="1" applyFill="1" applyBorder="1"/>
    <xf numFmtId="165" fontId="3" fillId="11" borderId="21" xfId="0" applyNumberFormat="1" applyFont="1" applyFill="1" applyBorder="1"/>
    <xf numFmtId="10" fontId="2" fillId="11" borderId="21" xfId="1" applyNumberFormat="1" applyFont="1" applyFill="1" applyBorder="1"/>
    <xf numFmtId="165" fontId="3" fillId="9" borderId="23" xfId="0" applyNumberFormat="1" applyFont="1" applyFill="1" applyBorder="1"/>
    <xf numFmtId="10" fontId="2" fillId="9" borderId="24" xfId="1" applyNumberFormat="1" applyFont="1" applyFill="1" applyBorder="1"/>
    <xf numFmtId="165" fontId="3" fillId="10" borderId="23" xfId="0" applyNumberFormat="1" applyFont="1" applyFill="1" applyBorder="1"/>
    <xf numFmtId="10" fontId="2" fillId="10" borderId="24" xfId="1" applyNumberFormat="1" applyFont="1" applyFill="1" applyBorder="1"/>
    <xf numFmtId="165" fontId="3" fillId="11" borderId="25" xfId="0" applyNumberFormat="1" applyFont="1" applyFill="1" applyBorder="1"/>
    <xf numFmtId="10" fontId="2" fillId="11" borderId="24" xfId="1" applyNumberFormat="1" applyFont="1" applyFill="1" applyBorder="1"/>
    <xf numFmtId="0" fontId="2" fillId="2" borderId="20" xfId="0" applyFont="1" applyFill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4" xfId="0" applyNumberFormat="1" applyBorder="1"/>
    <xf numFmtId="2" fontId="0" fillId="0" borderId="35" xfId="0" applyNumberFormat="1" applyBorder="1"/>
    <xf numFmtId="2" fontId="0" fillId="0" borderId="36" xfId="0" applyNumberFormat="1" applyBorder="1"/>
    <xf numFmtId="0" fontId="0" fillId="0" borderId="1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1" xfId="0" applyBorder="1"/>
    <xf numFmtId="0" fontId="0" fillId="0" borderId="39" xfId="0" applyBorder="1"/>
    <xf numFmtId="165" fontId="3" fillId="9" borderId="14" xfId="0" applyNumberFormat="1" applyFont="1" applyFill="1" applyBorder="1"/>
    <xf numFmtId="165" fontId="3" fillId="9" borderId="15" xfId="0" applyNumberFormat="1" applyFont="1" applyFill="1" applyBorder="1"/>
    <xf numFmtId="165" fontId="3" fillId="9" borderId="16" xfId="0" applyNumberFormat="1" applyFont="1" applyFill="1" applyBorder="1"/>
    <xf numFmtId="0" fontId="2" fillId="0" borderId="2" xfId="0" applyFont="1" applyBorder="1"/>
    <xf numFmtId="164" fontId="3" fillId="2" borderId="40" xfId="0" applyNumberFormat="1" applyFont="1" applyFill="1" applyBorder="1"/>
    <xf numFmtId="10" fontId="2" fillId="2" borderId="33" xfId="1" applyNumberFormat="1" applyFont="1" applyFill="1" applyBorder="1"/>
    <xf numFmtId="165" fontId="3" fillId="8" borderId="33" xfId="0" applyNumberFormat="1" applyFont="1" applyFill="1" applyBorder="1"/>
    <xf numFmtId="10" fontId="2" fillId="8" borderId="41" xfId="1" applyNumberFormat="1" applyFont="1" applyFill="1" applyBorder="1"/>
    <xf numFmtId="164" fontId="3" fillId="2" borderId="42" xfId="0" applyNumberFormat="1" applyFont="1" applyFill="1" applyBorder="1"/>
    <xf numFmtId="10" fontId="2" fillId="2" borderId="35" xfId="1" applyNumberFormat="1" applyFont="1" applyFill="1" applyBorder="1"/>
    <xf numFmtId="165" fontId="3" fillId="8" borderId="35" xfId="0" applyNumberFormat="1" applyFont="1" applyFill="1" applyBorder="1"/>
    <xf numFmtId="10" fontId="2" fillId="8" borderId="37" xfId="1" applyNumberFormat="1" applyFont="1" applyFill="1" applyBorder="1"/>
    <xf numFmtId="10" fontId="2" fillId="8" borderId="38" xfId="1" applyNumberFormat="1" applyFont="1" applyFill="1" applyBorder="1"/>
    <xf numFmtId="164" fontId="3" fillId="2" borderId="43" xfId="0" applyNumberFormat="1" applyFont="1" applyFill="1" applyBorder="1"/>
    <xf numFmtId="10" fontId="2" fillId="2" borderId="31" xfId="1" applyNumberFormat="1" applyFont="1" applyFill="1" applyBorder="1"/>
    <xf numFmtId="165" fontId="3" fillId="8" borderId="31" xfId="0" applyNumberFormat="1" applyFont="1" applyFill="1" applyBorder="1"/>
    <xf numFmtId="10" fontId="2" fillId="8" borderId="39" xfId="1" applyNumberFormat="1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4A51-B611-3F4C-95C8-0323CD01E835}">
  <dimension ref="A1:AD22"/>
  <sheetViews>
    <sheetView tabSelected="1" topLeftCell="F1" zoomScale="125" zoomScaleNormal="100" workbookViewId="0">
      <selection activeCell="Q19" sqref="Q19"/>
    </sheetView>
  </sheetViews>
  <sheetFormatPr baseColWidth="10" defaultRowHeight="16" x14ac:dyDescent="0.2"/>
  <cols>
    <col min="1" max="1" width="10.6640625" customWidth="1"/>
    <col min="20" max="20" width="11.33203125" bestFit="1" customWidth="1"/>
    <col min="22" max="22" width="11.5" customWidth="1"/>
    <col min="23" max="23" width="13" customWidth="1"/>
    <col min="24" max="24" width="15" customWidth="1"/>
    <col min="25" max="25" width="12" customWidth="1"/>
  </cols>
  <sheetData>
    <row r="1" spans="1:30" s="8" customFormat="1" ht="17" thickBot="1" x14ac:dyDescent="0.25">
      <c r="A1" s="57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9" t="s">
        <v>13</v>
      </c>
      <c r="O1" s="84" t="s">
        <v>24</v>
      </c>
      <c r="P1" s="85" t="s">
        <v>25</v>
      </c>
      <c r="Q1" s="86" t="s">
        <v>33</v>
      </c>
      <c r="R1" s="87" t="s">
        <v>26</v>
      </c>
      <c r="S1" s="88" t="s">
        <v>27</v>
      </c>
      <c r="T1" s="89" t="s">
        <v>28</v>
      </c>
      <c r="U1" s="89" t="s">
        <v>29</v>
      </c>
      <c r="V1" s="90" t="s">
        <v>30</v>
      </c>
      <c r="W1" s="91" t="s">
        <v>31</v>
      </c>
      <c r="X1" s="92" t="s">
        <v>32</v>
      </c>
      <c r="Y1" s="92" t="s">
        <v>34</v>
      </c>
      <c r="Z1" s="93" t="s">
        <v>35</v>
      </c>
      <c r="AA1" s="94" t="s">
        <v>31</v>
      </c>
      <c r="AB1" s="95" t="s">
        <v>32</v>
      </c>
      <c r="AC1" s="95" t="s">
        <v>34</v>
      </c>
      <c r="AD1" s="96" t="s">
        <v>35</v>
      </c>
    </row>
    <row r="2" spans="1:30" x14ac:dyDescent="0.2">
      <c r="A2" s="39">
        <v>0.01</v>
      </c>
      <c r="B2" s="2">
        <v>1</v>
      </c>
      <c r="C2" s="2">
        <v>16</v>
      </c>
      <c r="D2" s="2" t="s">
        <v>14</v>
      </c>
      <c r="E2" s="3">
        <v>0.60487999999999997</v>
      </c>
      <c r="F2" s="3">
        <v>0.70804500000000004</v>
      </c>
      <c r="G2" s="4">
        <v>0.721885</v>
      </c>
      <c r="H2" s="4">
        <v>0.76161500000000004</v>
      </c>
      <c r="I2" s="5">
        <v>0.73694000000000004</v>
      </c>
      <c r="J2" s="5">
        <v>0.77039199999999997</v>
      </c>
      <c r="K2" s="6">
        <v>0.62717000000000001</v>
      </c>
      <c r="L2" s="6">
        <v>0.455094</v>
      </c>
      <c r="M2" s="7">
        <v>0.50024000000000002</v>
      </c>
      <c r="N2" s="60">
        <v>0.66677299999999995</v>
      </c>
      <c r="O2" s="67">
        <f>G2-E2</f>
        <v>0.11700500000000003</v>
      </c>
      <c r="P2" s="30">
        <f>O2/E2</f>
        <v>0.19343506149980166</v>
      </c>
      <c r="Q2" s="31">
        <f>H2-F2</f>
        <v>5.3570000000000007E-2</v>
      </c>
      <c r="R2" s="68">
        <f>Q2/F2</f>
        <v>7.5659032971068227E-2</v>
      </c>
      <c r="S2" s="73">
        <f>I2-G2</f>
        <v>1.5055000000000041E-2</v>
      </c>
      <c r="T2" s="33">
        <f>S2/G2</f>
        <v>2.0855122353283476E-2</v>
      </c>
      <c r="U2" s="32">
        <f>J2-H2</f>
        <v>8.7769999999999238E-3</v>
      </c>
      <c r="V2" s="74">
        <f>U2/H2</f>
        <v>1.1524195295523228E-2</v>
      </c>
      <c r="W2" s="82">
        <f>K2-G2</f>
        <v>-9.4714999999999994E-2</v>
      </c>
      <c r="X2" s="35">
        <f>W2/G2</f>
        <v>-0.131205108846977</v>
      </c>
      <c r="Y2" s="34">
        <f>L2-H2</f>
        <v>-0.30652100000000004</v>
      </c>
      <c r="Z2" s="83">
        <f>Y2/H2</f>
        <v>-0.40246187378137249</v>
      </c>
      <c r="AA2" s="77">
        <f>M2-G2</f>
        <v>-0.22164499999999998</v>
      </c>
      <c r="AB2" s="37">
        <f>AA2/G2</f>
        <v>-0.30703643932205266</v>
      </c>
      <c r="AC2" s="36">
        <f>N2-H2</f>
        <v>-9.4842000000000093E-2</v>
      </c>
      <c r="AD2" s="38">
        <f>AC2/H2</f>
        <v>-0.12452748435889535</v>
      </c>
    </row>
    <row r="3" spans="1:30" x14ac:dyDescent="0.2">
      <c r="A3" s="39">
        <v>0.01</v>
      </c>
      <c r="B3" s="2">
        <v>1</v>
      </c>
      <c r="C3" s="2">
        <v>32</v>
      </c>
      <c r="D3" s="2" t="s">
        <v>15</v>
      </c>
      <c r="E3" s="3">
        <v>0.70181000000000004</v>
      </c>
      <c r="F3" s="3">
        <v>0.75180199999999997</v>
      </c>
      <c r="G3" s="4">
        <v>0.63866999999999996</v>
      </c>
      <c r="H3" s="4">
        <v>0.71135199999999998</v>
      </c>
      <c r="I3" s="5">
        <v>0.71808499999999997</v>
      </c>
      <c r="J3" s="5">
        <v>0.75431300000000001</v>
      </c>
      <c r="K3" s="6">
        <v>0.61273999999999995</v>
      </c>
      <c r="L3" s="6">
        <v>0.47103600000000001</v>
      </c>
      <c r="M3" s="7">
        <v>0.50658999999999998</v>
      </c>
      <c r="N3" s="60">
        <v>0.66956199999999999</v>
      </c>
      <c r="O3" s="63">
        <f>G3-E3</f>
        <v>-6.3140000000000085E-2</v>
      </c>
      <c r="P3" s="13">
        <f t="shared" ref="P3:P11" si="0">O3/E3</f>
        <v>-8.9967370085920803E-2</v>
      </c>
      <c r="Q3" s="16">
        <f t="shared" ref="Q3:Q11" si="1">H3-F3</f>
        <v>-4.0449999999999986E-2</v>
      </c>
      <c r="R3" s="64">
        <f t="shared" ref="R3:R11" si="2">Q3/F3</f>
        <v>-5.3804060111571912E-2</v>
      </c>
      <c r="S3" s="69">
        <f t="shared" ref="S3:S11" si="3">I3-G3</f>
        <v>7.9415000000000013E-2</v>
      </c>
      <c r="T3" s="12">
        <f t="shared" ref="T3:T11" si="4">S3/G3</f>
        <v>0.1243443405827736</v>
      </c>
      <c r="U3" s="15">
        <f t="shared" ref="U3:U11" si="5">J3-H3</f>
        <v>4.2961000000000027E-2</v>
      </c>
      <c r="V3" s="70">
        <f t="shared" ref="V3:V11" si="6">U3/H3</f>
        <v>6.0393447969500372E-2</v>
      </c>
      <c r="W3" s="78">
        <f t="shared" ref="W3:W11" si="7">K3-G3</f>
        <v>-2.5930000000000009E-2</v>
      </c>
      <c r="X3" s="11">
        <f t="shared" ref="X3:X11" si="8">W3/G3</f>
        <v>-4.0599996868492354E-2</v>
      </c>
      <c r="Y3" s="14">
        <f t="shared" ref="Y3:Y11" si="9">L3-H3</f>
        <v>-0.24031599999999997</v>
      </c>
      <c r="Z3" s="79">
        <f t="shared" ref="Z3:Z11" si="10">Y3/H3</f>
        <v>-0.33782993510948162</v>
      </c>
      <c r="AA3" s="75">
        <f t="shared" ref="AA3:AA11" si="11">M3-G3</f>
        <v>-0.13207999999999998</v>
      </c>
      <c r="AB3" s="10">
        <f t="shared" ref="AB3:AB11" si="12">AA3/G3</f>
        <v>-0.20680476615466514</v>
      </c>
      <c r="AC3" s="9">
        <f t="shared" ref="AC3:AC11" si="13">N3-H3</f>
        <v>-4.1789999999999994E-2</v>
      </c>
      <c r="AD3" s="40">
        <f t="shared" ref="AD3:AD11" si="14">AC3/H3</f>
        <v>-5.8747286856577326E-2</v>
      </c>
    </row>
    <row r="4" spans="1:30" x14ac:dyDescent="0.2">
      <c r="A4" s="39">
        <v>0.01</v>
      </c>
      <c r="B4" s="2">
        <v>1</v>
      </c>
      <c r="C4" s="2">
        <v>48</v>
      </c>
      <c r="D4" s="2" t="s">
        <v>16</v>
      </c>
      <c r="E4" s="3">
        <v>0.71335000000000004</v>
      </c>
      <c r="F4" s="3">
        <v>0.75804000000000005</v>
      </c>
      <c r="G4" s="4">
        <v>0.61909000000000003</v>
      </c>
      <c r="H4" s="4">
        <v>0.718472</v>
      </c>
      <c r="I4" s="5">
        <v>0.65986999999999996</v>
      </c>
      <c r="J4" s="5">
        <v>0.73853000000000002</v>
      </c>
      <c r="K4" s="6">
        <v>0.61708499999999999</v>
      </c>
      <c r="L4" s="6">
        <v>0.469084</v>
      </c>
      <c r="M4" s="7">
        <v>0.50057499999999999</v>
      </c>
      <c r="N4" s="60">
        <v>0.66687300000000005</v>
      </c>
      <c r="O4" s="63">
        <f t="shared" ref="O3:O11" si="15">G4-E4</f>
        <v>-9.426000000000001E-2</v>
      </c>
      <c r="P4" s="13">
        <f t="shared" si="0"/>
        <v>-0.13213709960047662</v>
      </c>
      <c r="Q4" s="16">
        <f t="shared" si="1"/>
        <v>-3.9568000000000048E-2</v>
      </c>
      <c r="R4" s="64">
        <f t="shared" si="2"/>
        <v>-5.2197773204580293E-2</v>
      </c>
      <c r="S4" s="69">
        <f t="shared" si="3"/>
        <v>4.0779999999999927E-2</v>
      </c>
      <c r="T4" s="12">
        <f t="shared" si="4"/>
        <v>6.5870874993942605E-2</v>
      </c>
      <c r="U4" s="15">
        <f t="shared" si="5"/>
        <v>2.005800000000002E-2</v>
      </c>
      <c r="V4" s="70">
        <f t="shared" si="6"/>
        <v>2.7917580643365393E-2</v>
      </c>
      <c r="W4" s="78">
        <f t="shared" si="7"/>
        <v>-2.0050000000000345E-3</v>
      </c>
      <c r="X4" s="11">
        <f t="shared" si="8"/>
        <v>-3.2386244326350522E-3</v>
      </c>
      <c r="Y4" s="14">
        <f t="shared" si="9"/>
        <v>-0.249388</v>
      </c>
      <c r="Z4" s="79">
        <f t="shared" si="10"/>
        <v>-0.34710886436771371</v>
      </c>
      <c r="AA4" s="75">
        <f t="shared" si="11"/>
        <v>-0.11851500000000004</v>
      </c>
      <c r="AB4" s="10">
        <f t="shared" si="12"/>
        <v>-0.1914342018123375</v>
      </c>
      <c r="AC4" s="9">
        <f t="shared" si="13"/>
        <v>-5.159899999999995E-2</v>
      </c>
      <c r="AD4" s="40">
        <f t="shared" si="14"/>
        <v>-7.1817690877306217E-2</v>
      </c>
    </row>
    <row r="5" spans="1:30" x14ac:dyDescent="0.2">
      <c r="A5" s="39">
        <v>0.01</v>
      </c>
      <c r="B5" s="2">
        <v>1</v>
      </c>
      <c r="C5" s="2">
        <v>64</v>
      </c>
      <c r="D5" s="2" t="s">
        <v>17</v>
      </c>
      <c r="E5" s="3">
        <v>0.67930000000000001</v>
      </c>
      <c r="F5" s="3">
        <v>0.74662600000000001</v>
      </c>
      <c r="G5" s="4">
        <v>0.58650000000000002</v>
      </c>
      <c r="H5" s="4">
        <v>0.70396199999999998</v>
      </c>
      <c r="I5" s="5">
        <v>0.75325500000000001</v>
      </c>
      <c r="J5" s="5">
        <v>0.78165799999999996</v>
      </c>
      <c r="K5" s="6">
        <v>0.71203499999999997</v>
      </c>
      <c r="L5" s="6">
        <v>0.68218800000000002</v>
      </c>
      <c r="M5" s="7">
        <v>0.50144</v>
      </c>
      <c r="N5" s="60">
        <v>0.66728500000000002</v>
      </c>
      <c r="O5" s="63">
        <f t="shared" si="15"/>
        <v>-9.2799999999999994E-2</v>
      </c>
      <c r="P5" s="13">
        <f t="shared" si="0"/>
        <v>-0.13661121742970703</v>
      </c>
      <c r="Q5" s="16">
        <f t="shared" si="1"/>
        <v>-4.2664000000000035E-2</v>
      </c>
      <c r="R5" s="64">
        <f t="shared" si="2"/>
        <v>-5.714239793417325E-2</v>
      </c>
      <c r="S5" s="69">
        <f t="shared" si="3"/>
        <v>0.16675499999999999</v>
      </c>
      <c r="T5" s="12">
        <f t="shared" si="4"/>
        <v>0.28432225063938615</v>
      </c>
      <c r="U5" s="15">
        <f t="shared" si="5"/>
        <v>7.7695999999999987E-2</v>
      </c>
      <c r="V5" s="70">
        <f t="shared" si="6"/>
        <v>0.11036959381330241</v>
      </c>
      <c r="W5" s="78">
        <f t="shared" si="7"/>
        <v>0.12553499999999995</v>
      </c>
      <c r="X5" s="11">
        <f t="shared" si="8"/>
        <v>0.21404092071611244</v>
      </c>
      <c r="Y5" s="14">
        <f t="shared" si="9"/>
        <v>-2.177399999999996E-2</v>
      </c>
      <c r="Z5" s="79">
        <f t="shared" si="10"/>
        <v>-3.0930646824686506E-2</v>
      </c>
      <c r="AA5" s="75">
        <f t="shared" si="11"/>
        <v>-8.5060000000000024E-2</v>
      </c>
      <c r="AB5" s="10">
        <f t="shared" si="12"/>
        <v>-0.14502983802216543</v>
      </c>
      <c r="AC5" s="9">
        <f t="shared" si="13"/>
        <v>-3.667699999999996E-2</v>
      </c>
      <c r="AD5" s="40">
        <f t="shared" si="14"/>
        <v>-5.2100823624002375E-2</v>
      </c>
    </row>
    <row r="6" spans="1:30" ht="17" thickBot="1" x14ac:dyDescent="0.25">
      <c r="A6" s="41">
        <v>0.01</v>
      </c>
      <c r="B6" s="42">
        <v>1</v>
      </c>
      <c r="C6" s="42">
        <v>128</v>
      </c>
      <c r="D6" s="42" t="s">
        <v>18</v>
      </c>
      <c r="E6" s="43">
        <v>0.65337500000000004</v>
      </c>
      <c r="F6" s="43">
        <v>0.72260800000000003</v>
      </c>
      <c r="G6" s="44">
        <v>0.65482499999999999</v>
      </c>
      <c r="H6" s="44">
        <v>0.73089199999999999</v>
      </c>
      <c r="I6" s="45">
        <v>0.61186499999999999</v>
      </c>
      <c r="J6" s="45">
        <v>0.71387100000000003</v>
      </c>
      <c r="K6" s="46">
        <v>0.61223499999999997</v>
      </c>
      <c r="L6" s="46">
        <v>0.40421299999999999</v>
      </c>
      <c r="M6" s="47">
        <v>0.50026999999999999</v>
      </c>
      <c r="N6" s="61">
        <v>0.66678700000000002</v>
      </c>
      <c r="O6" s="65">
        <f t="shared" si="15"/>
        <v>1.4499999999999513E-3</v>
      </c>
      <c r="P6" s="48">
        <f t="shared" si="0"/>
        <v>2.2192462215419187E-3</v>
      </c>
      <c r="Q6" s="49">
        <f t="shared" si="1"/>
        <v>8.2839999999999581E-3</v>
      </c>
      <c r="R6" s="66">
        <f t="shared" si="2"/>
        <v>1.1464030290281809E-2</v>
      </c>
      <c r="S6" s="71">
        <f t="shared" si="3"/>
        <v>-4.2959999999999998E-2</v>
      </c>
      <c r="T6" s="51">
        <f t="shared" si="4"/>
        <v>-6.5605314396976283E-2</v>
      </c>
      <c r="U6" s="50">
        <f t="shared" si="5"/>
        <v>-1.7020999999999953E-2</v>
      </c>
      <c r="V6" s="72">
        <f t="shared" si="6"/>
        <v>-2.3287982355806265E-2</v>
      </c>
      <c r="W6" s="80">
        <f t="shared" si="7"/>
        <v>-4.2590000000000017E-2</v>
      </c>
      <c r="X6" s="53">
        <f t="shared" si="8"/>
        <v>-6.504027793685338E-2</v>
      </c>
      <c r="Y6" s="52">
        <f t="shared" si="9"/>
        <v>-0.326679</v>
      </c>
      <c r="Z6" s="81">
        <f t="shared" si="10"/>
        <v>-0.44695933188487491</v>
      </c>
      <c r="AA6" s="76">
        <f t="shared" si="11"/>
        <v>-0.154555</v>
      </c>
      <c r="AB6" s="55">
        <f t="shared" si="12"/>
        <v>-0.23602489214675676</v>
      </c>
      <c r="AC6" s="54">
        <f t="shared" si="13"/>
        <v>-6.4104999999999968E-2</v>
      </c>
      <c r="AD6" s="56">
        <f t="shared" si="14"/>
        <v>-8.7707896652309741E-2</v>
      </c>
    </row>
    <row r="7" spans="1:30" x14ac:dyDescent="0.2">
      <c r="A7" s="23">
        <v>0.03</v>
      </c>
      <c r="B7" s="24">
        <v>3</v>
      </c>
      <c r="C7" s="24">
        <v>16</v>
      </c>
      <c r="D7" s="24" t="s">
        <v>19</v>
      </c>
      <c r="E7" s="25">
        <v>0.64185499999999995</v>
      </c>
      <c r="F7" s="25">
        <v>0.71614900000000004</v>
      </c>
      <c r="G7" s="26">
        <v>0.71093499999999998</v>
      </c>
      <c r="H7" s="26">
        <v>0.75436700000000001</v>
      </c>
      <c r="I7" s="27">
        <v>0.75882499999999997</v>
      </c>
      <c r="J7" s="27">
        <v>0.77795499999999995</v>
      </c>
      <c r="K7" s="28">
        <v>0.52282499999999998</v>
      </c>
      <c r="L7" s="28">
        <v>0.15160599999999999</v>
      </c>
      <c r="M7" s="29">
        <v>0.50007999999999997</v>
      </c>
      <c r="N7" s="62">
        <v>0.66670200000000002</v>
      </c>
      <c r="O7" s="67">
        <f t="shared" si="15"/>
        <v>6.908000000000003E-2</v>
      </c>
      <c r="P7" s="30">
        <f t="shared" si="0"/>
        <v>0.10762555405815961</v>
      </c>
      <c r="Q7" s="31">
        <f t="shared" si="1"/>
        <v>3.8217999999999974E-2</v>
      </c>
      <c r="R7" s="68">
        <f t="shared" si="2"/>
        <v>5.3365989479842842E-2</v>
      </c>
      <c r="S7" s="73">
        <f t="shared" si="3"/>
        <v>4.7889999999999988E-2</v>
      </c>
      <c r="T7" s="33">
        <f t="shared" si="4"/>
        <v>6.7361995119103707E-2</v>
      </c>
      <c r="U7" s="32">
        <f t="shared" si="5"/>
        <v>2.3587999999999942E-2</v>
      </c>
      <c r="V7" s="74">
        <f t="shared" si="6"/>
        <v>3.1268600031549555E-2</v>
      </c>
      <c r="W7" s="82">
        <f t="shared" si="7"/>
        <v>-0.18811</v>
      </c>
      <c r="X7" s="35">
        <f t="shared" si="8"/>
        <v>-0.26459521615900189</v>
      </c>
      <c r="Y7" s="34">
        <f t="shared" si="9"/>
        <v>-0.60276099999999999</v>
      </c>
      <c r="Z7" s="83">
        <f t="shared" si="10"/>
        <v>-0.79902885465562512</v>
      </c>
      <c r="AA7" s="77">
        <f t="shared" si="11"/>
        <v>-0.21085500000000001</v>
      </c>
      <c r="AB7" s="37">
        <f t="shared" si="12"/>
        <v>-0.29658829569510575</v>
      </c>
      <c r="AC7" s="36">
        <f t="shared" si="13"/>
        <v>-8.7664999999999993E-2</v>
      </c>
      <c r="AD7" s="38">
        <f t="shared" si="14"/>
        <v>-0.11621001448896888</v>
      </c>
    </row>
    <row r="8" spans="1:30" x14ac:dyDescent="0.2">
      <c r="A8" s="39">
        <v>0.03</v>
      </c>
      <c r="B8" s="2">
        <v>3</v>
      </c>
      <c r="C8" s="2">
        <v>32</v>
      </c>
      <c r="D8" s="2" t="s">
        <v>20</v>
      </c>
      <c r="E8" s="3">
        <v>0.71437499999999998</v>
      </c>
      <c r="F8" s="3">
        <v>0.75616300000000003</v>
      </c>
      <c r="G8" s="4">
        <v>0.69067500000000004</v>
      </c>
      <c r="H8" s="4">
        <v>0.75144900000000003</v>
      </c>
      <c r="I8" s="5">
        <v>0.750865</v>
      </c>
      <c r="J8" s="5">
        <v>0.77619000000000005</v>
      </c>
      <c r="K8" s="6">
        <v>0.61865000000000003</v>
      </c>
      <c r="L8" s="6">
        <v>0.421074</v>
      </c>
      <c r="M8" s="7">
        <v>0.50031499999999995</v>
      </c>
      <c r="N8" s="60">
        <v>0.66680700000000004</v>
      </c>
      <c r="O8" s="63">
        <f t="shared" si="15"/>
        <v>-2.3699999999999943E-2</v>
      </c>
      <c r="P8" s="13">
        <f t="shared" si="0"/>
        <v>-3.3175853018372628E-2</v>
      </c>
      <c r="Q8" s="16">
        <f t="shared" si="1"/>
        <v>-4.713999999999996E-3</v>
      </c>
      <c r="R8" s="64">
        <f t="shared" si="2"/>
        <v>-6.2341056095048236E-3</v>
      </c>
      <c r="S8" s="69">
        <f t="shared" si="3"/>
        <v>6.0189999999999966E-2</v>
      </c>
      <c r="T8" s="12">
        <f t="shared" si="4"/>
        <v>8.7146631918051123E-2</v>
      </c>
      <c r="U8" s="15">
        <f t="shared" si="5"/>
        <v>2.4741000000000013E-2</v>
      </c>
      <c r="V8" s="70">
        <f t="shared" si="6"/>
        <v>3.2924390078368608E-2</v>
      </c>
      <c r="W8" s="78">
        <f t="shared" si="7"/>
        <v>-7.2025000000000006E-2</v>
      </c>
      <c r="X8" s="11">
        <f t="shared" si="8"/>
        <v>-0.10428204292901871</v>
      </c>
      <c r="Y8" s="14">
        <f t="shared" si="9"/>
        <v>-0.33037500000000003</v>
      </c>
      <c r="Z8" s="79">
        <f t="shared" si="10"/>
        <v>-0.43965059505036275</v>
      </c>
      <c r="AA8" s="75">
        <f t="shared" si="11"/>
        <v>-0.19036000000000008</v>
      </c>
      <c r="AB8" s="10">
        <f t="shared" si="12"/>
        <v>-0.27561443515401612</v>
      </c>
      <c r="AC8" s="9">
        <f t="shared" si="13"/>
        <v>-8.4641999999999995E-2</v>
      </c>
      <c r="AD8" s="40">
        <f t="shared" si="14"/>
        <v>-0.11263838264473038</v>
      </c>
    </row>
    <row r="9" spans="1:30" x14ac:dyDescent="0.2">
      <c r="A9" s="39">
        <v>0.03</v>
      </c>
      <c r="B9" s="2">
        <v>3</v>
      </c>
      <c r="C9" s="2">
        <v>48</v>
      </c>
      <c r="D9" s="2" t="s">
        <v>21</v>
      </c>
      <c r="E9" s="3">
        <v>0.73041500000000004</v>
      </c>
      <c r="F9" s="3">
        <v>0.766011</v>
      </c>
      <c r="G9" s="4">
        <v>0.62183500000000003</v>
      </c>
      <c r="H9" s="4">
        <v>0.71893799999999997</v>
      </c>
      <c r="I9" s="5">
        <v>0.703515</v>
      </c>
      <c r="J9" s="5">
        <v>0.73353100000000004</v>
      </c>
      <c r="K9" s="6">
        <v>0.61924500000000005</v>
      </c>
      <c r="L9" s="6">
        <v>0.71881600000000001</v>
      </c>
      <c r="M9" s="7">
        <v>0.50173999999999996</v>
      </c>
      <c r="N9" s="60">
        <v>0.66740299999999997</v>
      </c>
      <c r="O9" s="63">
        <f t="shared" si="15"/>
        <v>-0.10858000000000001</v>
      </c>
      <c r="P9" s="13">
        <f t="shared" si="0"/>
        <v>-0.14865521655497219</v>
      </c>
      <c r="Q9" s="16">
        <f t="shared" si="1"/>
        <v>-4.7073000000000031E-2</v>
      </c>
      <c r="R9" s="64">
        <f t="shared" si="2"/>
        <v>-6.1452120139266972E-2</v>
      </c>
      <c r="S9" s="69">
        <f t="shared" si="3"/>
        <v>8.1679999999999975E-2</v>
      </c>
      <c r="T9" s="12">
        <f t="shared" si="4"/>
        <v>0.13135317246536457</v>
      </c>
      <c r="U9" s="15">
        <f t="shared" si="5"/>
        <v>1.4593000000000078E-2</v>
      </c>
      <c r="V9" s="70">
        <f t="shared" si="6"/>
        <v>2.0297995098325694E-2</v>
      </c>
      <c r="W9" s="78">
        <f t="shared" si="7"/>
        <v>-2.5899999999999812E-3</v>
      </c>
      <c r="X9" s="11">
        <f t="shared" si="8"/>
        <v>-4.1650920260197337E-3</v>
      </c>
      <c r="Y9" s="14">
        <f t="shared" si="9"/>
        <v>-1.2199999999995548E-4</v>
      </c>
      <c r="Z9" s="79">
        <f t="shared" si="10"/>
        <v>-1.696947441920659E-4</v>
      </c>
      <c r="AA9" s="75">
        <f t="shared" si="11"/>
        <v>-0.12009500000000006</v>
      </c>
      <c r="AB9" s="10">
        <f t="shared" si="12"/>
        <v>-0.19313001037252656</v>
      </c>
      <c r="AC9" s="9">
        <f t="shared" si="13"/>
        <v>-5.1534999999999997E-2</v>
      </c>
      <c r="AD9" s="40">
        <f t="shared" si="14"/>
        <v>-7.1682120015912357E-2</v>
      </c>
    </row>
    <row r="10" spans="1:30" x14ac:dyDescent="0.2">
      <c r="A10" s="39">
        <v>0.03</v>
      </c>
      <c r="B10" s="2">
        <v>3</v>
      </c>
      <c r="C10" s="2">
        <v>64</v>
      </c>
      <c r="D10" s="2" t="s">
        <v>22</v>
      </c>
      <c r="E10" s="3">
        <v>0.750915</v>
      </c>
      <c r="F10" s="3">
        <v>0.78066599999999997</v>
      </c>
      <c r="G10" s="4">
        <v>0.62207999999999997</v>
      </c>
      <c r="H10" s="4">
        <v>0.71757800000000005</v>
      </c>
      <c r="I10" s="5">
        <v>0.62312500000000004</v>
      </c>
      <c r="J10" s="5">
        <v>0.71776499999999999</v>
      </c>
      <c r="K10" s="6">
        <v>0.62283999999999995</v>
      </c>
      <c r="L10" s="6">
        <v>0.70111699999999999</v>
      </c>
      <c r="M10" s="7">
        <v>0.50002500000000005</v>
      </c>
      <c r="N10" s="60">
        <v>0.66667799999999999</v>
      </c>
      <c r="O10" s="63">
        <f t="shared" si="15"/>
        <v>-0.12883500000000003</v>
      </c>
      <c r="P10" s="13">
        <f t="shared" si="0"/>
        <v>-0.17157068376580575</v>
      </c>
      <c r="Q10" s="16">
        <f t="shared" si="1"/>
        <v>-6.3087999999999922E-2</v>
      </c>
      <c r="R10" s="64">
        <f t="shared" si="2"/>
        <v>-8.0813049370665468E-2</v>
      </c>
      <c r="S10" s="69">
        <f t="shared" si="3"/>
        <v>1.0450000000000736E-3</v>
      </c>
      <c r="T10" s="12">
        <f t="shared" si="4"/>
        <v>1.6798482510289251E-3</v>
      </c>
      <c r="U10" s="15">
        <f t="shared" si="5"/>
        <v>1.8699999999993722E-4</v>
      </c>
      <c r="V10" s="70">
        <f t="shared" si="6"/>
        <v>2.605988477906753E-4</v>
      </c>
      <c r="W10" s="78">
        <f t="shared" si="7"/>
        <v>7.5999999999998291E-4</v>
      </c>
      <c r="X10" s="11">
        <f t="shared" si="8"/>
        <v>1.2217078189300137E-3</v>
      </c>
      <c r="Y10" s="14">
        <f t="shared" si="9"/>
        <v>-1.6461000000000059E-2</v>
      </c>
      <c r="Z10" s="79">
        <f t="shared" si="10"/>
        <v>-2.2939666489217976E-2</v>
      </c>
      <c r="AA10" s="75">
        <f t="shared" si="11"/>
        <v>-0.12205499999999991</v>
      </c>
      <c r="AB10" s="10">
        <f t="shared" si="12"/>
        <v>-0.19620466820987642</v>
      </c>
      <c r="AC10" s="9">
        <f t="shared" si="13"/>
        <v>-5.0900000000000056E-2</v>
      </c>
      <c r="AD10" s="40">
        <f t="shared" si="14"/>
        <v>-7.0933055361229097E-2</v>
      </c>
    </row>
    <row r="11" spans="1:30" ht="17" thickBot="1" x14ac:dyDescent="0.25">
      <c r="A11" s="41">
        <v>0.03</v>
      </c>
      <c r="B11" s="42">
        <v>3</v>
      </c>
      <c r="C11" s="42">
        <v>128</v>
      </c>
      <c r="D11" s="42" t="s">
        <v>23</v>
      </c>
      <c r="E11" s="43">
        <v>0.70586000000000004</v>
      </c>
      <c r="F11" s="43">
        <v>0.76004000000000005</v>
      </c>
      <c r="G11" s="44">
        <v>0.71899500000000005</v>
      </c>
      <c r="H11" s="44">
        <v>0.75623600000000002</v>
      </c>
      <c r="I11" s="45">
        <v>0.708735</v>
      </c>
      <c r="J11" s="45">
        <v>0.76344999999999996</v>
      </c>
      <c r="K11" s="46">
        <v>0.63240499999999999</v>
      </c>
      <c r="L11" s="46">
        <v>0.72530499999999998</v>
      </c>
      <c r="M11" s="47">
        <v>0.50417000000000001</v>
      </c>
      <c r="N11" s="61">
        <v>0.66849899999999995</v>
      </c>
      <c r="O11" s="65">
        <f t="shared" si="15"/>
        <v>1.3135000000000008E-2</v>
      </c>
      <c r="P11" s="48">
        <f t="shared" si="0"/>
        <v>1.8608505936021317E-2</v>
      </c>
      <c r="Q11" s="49">
        <f t="shared" si="1"/>
        <v>-3.8040000000000296E-3</v>
      </c>
      <c r="R11" s="66">
        <f t="shared" si="2"/>
        <v>-5.0049997368559933E-3</v>
      </c>
      <c r="S11" s="71">
        <f t="shared" si="3"/>
        <v>-1.0260000000000047E-2</v>
      </c>
      <c r="T11" s="51">
        <f t="shared" si="4"/>
        <v>-1.4269918427805542E-2</v>
      </c>
      <c r="U11" s="50">
        <f t="shared" si="5"/>
        <v>7.2139999999999427E-3</v>
      </c>
      <c r="V11" s="72">
        <f t="shared" si="6"/>
        <v>9.5393501499531127E-3</v>
      </c>
      <c r="W11" s="80">
        <f t="shared" si="7"/>
        <v>-8.6590000000000056E-2</v>
      </c>
      <c r="X11" s="53">
        <f t="shared" si="8"/>
        <v>-0.12043199187755137</v>
      </c>
      <c r="Y11" s="52">
        <f t="shared" si="9"/>
        <v>-3.0931000000000042E-2</v>
      </c>
      <c r="Z11" s="81">
        <f t="shared" si="10"/>
        <v>-4.0901253047990367E-2</v>
      </c>
      <c r="AA11" s="76">
        <f t="shared" si="11"/>
        <v>-0.21482500000000004</v>
      </c>
      <c r="AB11" s="55">
        <f t="shared" si="12"/>
        <v>-0.29878510977127798</v>
      </c>
      <c r="AC11" s="54">
        <f t="shared" si="13"/>
        <v>-8.7737000000000065E-2</v>
      </c>
      <c r="AD11" s="56">
        <f t="shared" si="14"/>
        <v>-0.11601801554012248</v>
      </c>
    </row>
    <row r="12" spans="1:30" x14ac:dyDescent="0.2">
      <c r="G12" s="1"/>
      <c r="S12" s="101" t="s">
        <v>27</v>
      </c>
      <c r="T12" s="101" t="s">
        <v>28</v>
      </c>
      <c r="U12" s="101" t="s">
        <v>29</v>
      </c>
      <c r="V12" s="101" t="s">
        <v>30</v>
      </c>
      <c r="W12" s="102" t="s">
        <v>31</v>
      </c>
      <c r="X12" s="102" t="s">
        <v>32</v>
      </c>
      <c r="Y12" s="102" t="s">
        <v>34</v>
      </c>
      <c r="Z12" s="102" t="s">
        <v>35</v>
      </c>
      <c r="AA12" s="103" t="s">
        <v>31</v>
      </c>
      <c r="AB12" s="103" t="s">
        <v>32</v>
      </c>
      <c r="AC12" s="103" t="s">
        <v>34</v>
      </c>
      <c r="AD12" s="103" t="s">
        <v>35</v>
      </c>
    </row>
    <row r="13" spans="1:30" x14ac:dyDescent="0.2">
      <c r="S13" s="104">
        <f>I2-E2</f>
        <v>0.13206000000000007</v>
      </c>
      <c r="T13" s="105">
        <f>S13/E2</f>
        <v>0.2183242957280784</v>
      </c>
      <c r="U13" s="104">
        <f>J2-F2</f>
        <v>6.234699999999993E-2</v>
      </c>
      <c r="V13" s="105">
        <f>U13/F2</f>
        <v>8.8055137738420483E-2</v>
      </c>
      <c r="W13" s="106">
        <f>K2-E2</f>
        <v>2.2290000000000032E-2</v>
      </c>
      <c r="X13" s="107">
        <f>W13/E2</f>
        <v>3.6850284353921493E-2</v>
      </c>
      <c r="Y13" s="106">
        <f>L2-F2</f>
        <v>-0.25295100000000004</v>
      </c>
      <c r="Z13" s="107">
        <f>Y13/F2</f>
        <v>-0.35725271698832706</v>
      </c>
      <c r="AA13" s="108">
        <f>M2-E2</f>
        <v>-0.10463999999999996</v>
      </c>
      <c r="AB13" s="109">
        <f>AA13/G2</f>
        <v>-0.14495383613733484</v>
      </c>
      <c r="AC13" s="108">
        <f>N2-F2</f>
        <v>-4.1272000000000086E-2</v>
      </c>
      <c r="AD13" s="109">
        <f>AC13/F2</f>
        <v>-5.8290080432740976E-2</v>
      </c>
    </row>
    <row r="14" spans="1:30" x14ac:dyDescent="0.2">
      <c r="S14" s="104">
        <f t="shared" ref="S14:S22" si="16">I3-E3</f>
        <v>1.6274999999999928E-2</v>
      </c>
      <c r="T14" s="105">
        <f t="shared" ref="T14:T22" si="17">S14/E3</f>
        <v>2.3190037189552624E-2</v>
      </c>
      <c r="U14" s="104">
        <f t="shared" ref="U14:U22" si="18">J3-F3</f>
        <v>2.511000000000041E-3</v>
      </c>
      <c r="V14" s="105">
        <f t="shared" ref="V14:V22" si="19">U14/F3</f>
        <v>3.3399751530323691E-3</v>
      </c>
      <c r="W14" s="106">
        <f t="shared" ref="W14:W22" si="20">K3-E3</f>
        <v>-8.9070000000000094E-2</v>
      </c>
      <c r="X14" s="107">
        <f t="shared" ref="X14:X22" si="21">W14/E3</f>
        <v>-0.12691469201065828</v>
      </c>
      <c r="Y14" s="106">
        <f t="shared" ref="Y14:Y22" si="22">L3-F3</f>
        <v>-0.28076599999999996</v>
      </c>
      <c r="Z14" s="107">
        <f t="shared" ref="Z14:Z22" si="23">Y14/F3</f>
        <v>-0.37345737308493454</v>
      </c>
      <c r="AA14" s="108">
        <f t="shared" ref="AA14:AA22" si="24">M3-E3</f>
        <v>-0.19522000000000006</v>
      </c>
      <c r="AB14" s="109">
        <f t="shared" ref="AB14:AB22" si="25">AA14/G3</f>
        <v>-0.30566646311866857</v>
      </c>
      <c r="AC14" s="108">
        <f t="shared" ref="AC14:AC22" si="26">N3-F3</f>
        <v>-8.223999999999998E-2</v>
      </c>
      <c r="AD14" s="109">
        <f t="shared" ref="AD14:AD22" si="27">AC14/F3</f>
        <v>-0.1093905044147262</v>
      </c>
    </row>
    <row r="15" spans="1:30" x14ac:dyDescent="0.2">
      <c r="S15" s="104">
        <f t="shared" si="16"/>
        <v>-5.3480000000000083E-2</v>
      </c>
      <c r="T15" s="105">
        <f t="shared" si="17"/>
        <v>-7.4970210976379167E-2</v>
      </c>
      <c r="U15" s="104">
        <f t="shared" si="18"/>
        <v>-1.9510000000000027E-2</v>
      </c>
      <c r="V15" s="105">
        <f t="shared" si="19"/>
        <v>-2.5737428104057866E-2</v>
      </c>
      <c r="W15" s="106">
        <f t="shared" si="20"/>
        <v>-9.6265000000000045E-2</v>
      </c>
      <c r="X15" s="107">
        <f t="shared" si="21"/>
        <v>-0.13494778159388804</v>
      </c>
      <c r="Y15" s="106">
        <f t="shared" si="22"/>
        <v>-0.28895600000000005</v>
      </c>
      <c r="Z15" s="107">
        <f t="shared" si="23"/>
        <v>-0.38118832779272865</v>
      </c>
      <c r="AA15" s="108">
        <f t="shared" si="24"/>
        <v>-0.21277500000000005</v>
      </c>
      <c r="AB15" s="109">
        <f t="shared" si="25"/>
        <v>-0.34368993199696335</v>
      </c>
      <c r="AC15" s="108">
        <f t="shared" si="26"/>
        <v>-9.1166999999999998E-2</v>
      </c>
      <c r="AD15" s="109">
        <f t="shared" si="27"/>
        <v>-0.12026674054139622</v>
      </c>
    </row>
    <row r="16" spans="1:30" x14ac:dyDescent="0.2">
      <c r="S16" s="104">
        <f t="shared" si="16"/>
        <v>7.3954999999999993E-2</v>
      </c>
      <c r="T16" s="105">
        <f t="shared" si="17"/>
        <v>0.10886942440747828</v>
      </c>
      <c r="U16" s="104">
        <f t="shared" si="18"/>
        <v>3.5031999999999952E-2</v>
      </c>
      <c r="V16" s="105">
        <f t="shared" si="19"/>
        <v>4.6920412629616368E-2</v>
      </c>
      <c r="W16" s="106">
        <f t="shared" si="20"/>
        <v>3.2734999999999959E-2</v>
      </c>
      <c r="X16" s="107">
        <f t="shared" si="21"/>
        <v>4.8189312527601884E-2</v>
      </c>
      <c r="Y16" s="106">
        <f t="shared" si="22"/>
        <v>-6.4437999999999995E-2</v>
      </c>
      <c r="Z16" s="107">
        <f t="shared" si="23"/>
        <v>-8.6305593429642141E-2</v>
      </c>
      <c r="AA16" s="108">
        <f t="shared" si="24"/>
        <v>-0.17786000000000002</v>
      </c>
      <c r="AB16" s="109">
        <f t="shared" si="25"/>
        <v>-0.30325660699062235</v>
      </c>
      <c r="AC16" s="108">
        <f t="shared" si="26"/>
        <v>-7.9340999999999995E-2</v>
      </c>
      <c r="AD16" s="109">
        <f t="shared" si="27"/>
        <v>-0.1062660555619547</v>
      </c>
    </row>
    <row r="17" spans="19:30" x14ac:dyDescent="0.2">
      <c r="S17" s="104">
        <f t="shared" si="16"/>
        <v>-4.1510000000000047E-2</v>
      </c>
      <c r="T17" s="105">
        <f t="shared" si="17"/>
        <v>-6.3531662521522925E-2</v>
      </c>
      <c r="U17" s="104">
        <f t="shared" si="18"/>
        <v>-8.7369999999999948E-3</v>
      </c>
      <c r="V17" s="105">
        <f t="shared" si="19"/>
        <v>-1.2090926200650968E-2</v>
      </c>
      <c r="W17" s="106">
        <f t="shared" si="20"/>
        <v>-4.1140000000000065E-2</v>
      </c>
      <c r="X17" s="107">
        <f t="shared" si="21"/>
        <v>-6.2965372106370862E-2</v>
      </c>
      <c r="Y17" s="106">
        <f t="shared" si="22"/>
        <v>-0.31839500000000004</v>
      </c>
      <c r="Z17" s="107">
        <f t="shared" si="23"/>
        <v>-0.44061925691384546</v>
      </c>
      <c r="AA17" s="108">
        <f t="shared" si="24"/>
        <v>-0.15310500000000005</v>
      </c>
      <c r="AB17" s="109">
        <f t="shared" si="25"/>
        <v>-0.23381056007330211</v>
      </c>
      <c r="AC17" s="108">
        <f t="shared" si="26"/>
        <v>-5.5821000000000009E-2</v>
      </c>
      <c r="AD17" s="109">
        <f t="shared" si="27"/>
        <v>-7.7249352345946917E-2</v>
      </c>
    </row>
    <row r="18" spans="19:30" x14ac:dyDescent="0.2">
      <c r="S18" s="104">
        <f t="shared" si="16"/>
        <v>0.11697000000000002</v>
      </c>
      <c r="T18" s="105">
        <f t="shared" si="17"/>
        <v>0.18223742122441988</v>
      </c>
      <c r="U18" s="104">
        <f t="shared" si="18"/>
        <v>6.1805999999999917E-2</v>
      </c>
      <c r="V18" s="105">
        <f>U18/F7</f>
        <v>8.6303269291725479E-2</v>
      </c>
      <c r="W18" s="106">
        <f t="shared" si="20"/>
        <v>-0.11902999999999997</v>
      </c>
      <c r="X18" s="107">
        <f t="shared" si="21"/>
        <v>-0.18544686884109335</v>
      </c>
      <c r="Y18" s="106">
        <f t="shared" si="22"/>
        <v>-0.56454300000000002</v>
      </c>
      <c r="Z18" s="107">
        <f t="shared" si="23"/>
        <v>-0.78830383062742526</v>
      </c>
      <c r="AA18" s="108">
        <f t="shared" si="24"/>
        <v>-0.14177499999999998</v>
      </c>
      <c r="AB18" s="109">
        <f t="shared" si="25"/>
        <v>-0.19942048147861619</v>
      </c>
      <c r="AC18" s="108">
        <f t="shared" si="26"/>
        <v>-4.9447000000000019E-2</v>
      </c>
      <c r="AD18" s="109">
        <f t="shared" si="27"/>
        <v>-6.9045687419796747E-2</v>
      </c>
    </row>
    <row r="19" spans="19:30" x14ac:dyDescent="0.2">
      <c r="S19" s="104">
        <f t="shared" si="16"/>
        <v>3.6490000000000022E-2</v>
      </c>
      <c r="T19" s="105">
        <f t="shared" si="17"/>
        <v>5.1079615048119018E-2</v>
      </c>
      <c r="U19" s="104">
        <f t="shared" si="18"/>
        <v>2.0027000000000017E-2</v>
      </c>
      <c r="V19" s="105">
        <f>U19/F8</f>
        <v>2.64850303439867E-2</v>
      </c>
      <c r="W19" s="106">
        <f t="shared" si="20"/>
        <v>-9.5724999999999949E-2</v>
      </c>
      <c r="X19" s="107">
        <f t="shared" si="21"/>
        <v>-0.13399825021872258</v>
      </c>
      <c r="Y19" s="106">
        <f t="shared" si="22"/>
        <v>-0.33508900000000003</v>
      </c>
      <c r="Z19" s="107">
        <f t="shared" si="23"/>
        <v>-0.44314387241904196</v>
      </c>
      <c r="AA19" s="108">
        <f t="shared" si="24"/>
        <v>-0.21406000000000003</v>
      </c>
      <c r="AB19" s="109">
        <f t="shared" si="25"/>
        <v>-0.30992869294530717</v>
      </c>
      <c r="AC19" s="108">
        <f t="shared" si="26"/>
        <v>-8.9355999999999991E-2</v>
      </c>
      <c r="AD19" s="109">
        <f t="shared" si="27"/>
        <v>-0.11817028868114413</v>
      </c>
    </row>
    <row r="20" spans="19:30" x14ac:dyDescent="0.2">
      <c r="S20" s="104">
        <f t="shared" si="16"/>
        <v>-2.6900000000000035E-2</v>
      </c>
      <c r="T20" s="105">
        <f t="shared" si="17"/>
        <v>-3.6828378387628993E-2</v>
      </c>
      <c r="U20" s="104">
        <f t="shared" si="18"/>
        <v>-3.2479999999999953E-2</v>
      </c>
      <c r="V20" s="105">
        <f t="shared" si="19"/>
        <v>-4.2401479874309839E-2</v>
      </c>
      <c r="W20" s="106">
        <f t="shared" si="20"/>
        <v>-0.11116999999999999</v>
      </c>
      <c r="X20" s="107">
        <f t="shared" si="21"/>
        <v>-0.15220114592389256</v>
      </c>
      <c r="Y20" s="106">
        <f t="shared" si="22"/>
        <v>-4.7194999999999987E-2</v>
      </c>
      <c r="Z20" s="107">
        <f t="shared" si="23"/>
        <v>-6.1611386781651942E-2</v>
      </c>
      <c r="AA20" s="108">
        <f t="shared" si="24"/>
        <v>-0.22867500000000007</v>
      </c>
      <c r="AB20" s="109">
        <f t="shared" si="25"/>
        <v>-0.36774224673747868</v>
      </c>
      <c r="AC20" s="108">
        <f t="shared" si="26"/>
        <v>-9.8608000000000029E-2</v>
      </c>
      <c r="AD20" s="109">
        <f t="shared" si="27"/>
        <v>-0.12872922190412414</v>
      </c>
    </row>
    <row r="21" spans="19:30" x14ac:dyDescent="0.2">
      <c r="S21" s="104">
        <f t="shared" si="16"/>
        <v>-0.12778999999999996</v>
      </c>
      <c r="T21" s="105">
        <f t="shared" si="17"/>
        <v>-0.17017904822782867</v>
      </c>
      <c r="U21" s="104">
        <f t="shared" si="18"/>
        <v>-6.2900999999999985E-2</v>
      </c>
      <c r="V21" s="105">
        <f t="shared" si="19"/>
        <v>-8.057351031042724E-2</v>
      </c>
      <c r="W21" s="106">
        <f t="shared" si="20"/>
        <v>-0.12807500000000005</v>
      </c>
      <c r="X21" s="107">
        <f t="shared" si="21"/>
        <v>-0.17055858519273159</v>
      </c>
      <c r="Y21" s="106">
        <f t="shared" si="22"/>
        <v>-7.9548999999999981E-2</v>
      </c>
      <c r="Z21" s="107">
        <f t="shared" si="23"/>
        <v>-0.10189889145934367</v>
      </c>
      <c r="AA21" s="108">
        <f t="shared" si="24"/>
        <v>-0.25088999999999995</v>
      </c>
      <c r="AB21" s="109">
        <f t="shared" si="25"/>
        <v>-0.40330825617283944</v>
      </c>
      <c r="AC21" s="108">
        <f t="shared" si="26"/>
        <v>-0.11398799999999998</v>
      </c>
      <c r="AD21" s="109">
        <f t="shared" si="27"/>
        <v>-0.14601378822697542</v>
      </c>
    </row>
    <row r="22" spans="19:30" x14ac:dyDescent="0.2">
      <c r="S22" s="104">
        <f t="shared" si="16"/>
        <v>2.8749999999999609E-3</v>
      </c>
      <c r="T22" s="105">
        <f t="shared" si="17"/>
        <v>4.0730456464454154E-3</v>
      </c>
      <c r="U22" s="104">
        <f t="shared" si="18"/>
        <v>3.4099999999999131E-3</v>
      </c>
      <c r="V22" s="105">
        <f t="shared" si="19"/>
        <v>4.4866059681068268E-3</v>
      </c>
      <c r="W22" s="106">
        <f t="shared" si="20"/>
        <v>-7.3455000000000048E-2</v>
      </c>
      <c r="X22" s="107">
        <f t="shared" si="21"/>
        <v>-0.10406454537727035</v>
      </c>
      <c r="Y22" s="106">
        <f t="shared" si="22"/>
        <v>-3.4735000000000071E-2</v>
      </c>
      <c r="Z22" s="107">
        <f t="shared" si="23"/>
        <v>-4.5701542024104085E-2</v>
      </c>
      <c r="AA22" s="108">
        <f t="shared" si="24"/>
        <v>-0.20169000000000004</v>
      </c>
      <c r="AB22" s="109">
        <f t="shared" si="25"/>
        <v>-0.28051655435712353</v>
      </c>
      <c r="AC22" s="108">
        <f t="shared" si="26"/>
        <v>-9.1541000000000095E-2</v>
      </c>
      <c r="AD22" s="109">
        <f t="shared" si="27"/>
        <v>-0.12044234513972961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8B3D-E95D-514E-ADEB-99A46249108E}">
  <dimension ref="A1:AD22"/>
  <sheetViews>
    <sheetView topLeftCell="B1" zoomScale="117" zoomScaleNormal="100" workbookViewId="0">
      <selection activeCell="R2" sqref="R2"/>
    </sheetView>
  </sheetViews>
  <sheetFormatPr baseColWidth="10" defaultRowHeight="16" x14ac:dyDescent="0.2"/>
  <cols>
    <col min="1" max="1" width="10.6640625" customWidth="1"/>
    <col min="20" max="20" width="11.33203125" bestFit="1" customWidth="1"/>
    <col min="22" max="22" width="11.5" customWidth="1"/>
    <col min="23" max="23" width="13" customWidth="1"/>
    <col min="24" max="24" width="15" customWidth="1"/>
    <col min="25" max="25" width="12" customWidth="1"/>
  </cols>
  <sheetData>
    <row r="1" spans="1:30" s="8" customFormat="1" ht="17" thickBot="1" x14ac:dyDescent="0.25">
      <c r="A1" s="117" t="s">
        <v>0</v>
      </c>
      <c r="B1" s="118" t="s">
        <v>1</v>
      </c>
      <c r="C1" s="118" t="s">
        <v>2</v>
      </c>
      <c r="D1" s="118" t="s">
        <v>3</v>
      </c>
      <c r="E1" s="118" t="s">
        <v>4</v>
      </c>
      <c r="F1" s="118" t="s">
        <v>5</v>
      </c>
      <c r="G1" s="136" t="s">
        <v>6</v>
      </c>
      <c r="H1" s="136" t="s">
        <v>7</v>
      </c>
      <c r="I1" s="136" t="s">
        <v>8</v>
      </c>
      <c r="J1" s="136" t="s">
        <v>9</v>
      </c>
      <c r="K1" s="118" t="s">
        <v>10</v>
      </c>
      <c r="L1" s="118" t="s">
        <v>11</v>
      </c>
      <c r="M1" s="118" t="s">
        <v>12</v>
      </c>
      <c r="N1" s="119" t="s">
        <v>13</v>
      </c>
      <c r="O1" s="116" t="s">
        <v>24</v>
      </c>
      <c r="P1" s="85" t="s">
        <v>25</v>
      </c>
      <c r="Q1" s="86" t="s">
        <v>33</v>
      </c>
      <c r="R1" s="87" t="s">
        <v>26</v>
      </c>
      <c r="S1" s="88" t="s">
        <v>27</v>
      </c>
      <c r="T1" s="89" t="s">
        <v>28</v>
      </c>
      <c r="U1" s="89" t="s">
        <v>29</v>
      </c>
      <c r="V1" s="90" t="s">
        <v>30</v>
      </c>
      <c r="W1" s="91" t="s">
        <v>31</v>
      </c>
      <c r="X1" s="92" t="s">
        <v>32</v>
      </c>
      <c r="Y1" s="92" t="s">
        <v>34</v>
      </c>
      <c r="Z1" s="93" t="s">
        <v>35</v>
      </c>
      <c r="AA1" s="94" t="s">
        <v>31</v>
      </c>
      <c r="AB1" s="95" t="s">
        <v>32</v>
      </c>
      <c r="AC1" s="95" t="s">
        <v>34</v>
      </c>
      <c r="AD1" s="96" t="s">
        <v>35</v>
      </c>
    </row>
    <row r="2" spans="1:30" x14ac:dyDescent="0.2">
      <c r="A2" s="124">
        <v>0.01</v>
      </c>
      <c r="B2" s="125">
        <v>1</v>
      </c>
      <c r="C2" s="125">
        <v>16</v>
      </c>
      <c r="D2" s="126" t="s">
        <v>14</v>
      </c>
      <c r="E2" s="128">
        <v>0.67679999999999996</v>
      </c>
      <c r="F2" s="128">
        <v>0.71450000000000002</v>
      </c>
      <c r="G2" s="128">
        <v>0.66410000000000002</v>
      </c>
      <c r="H2" s="128">
        <v>0.71260000000000001</v>
      </c>
      <c r="I2" s="128">
        <v>0.6038</v>
      </c>
      <c r="J2" s="128">
        <v>0.65649999999999997</v>
      </c>
      <c r="K2" s="128">
        <v>0.51670000000000005</v>
      </c>
      <c r="L2" s="128">
        <v>0.13189999999999999</v>
      </c>
      <c r="M2" s="128">
        <v>0.50739999999999996</v>
      </c>
      <c r="N2" s="129">
        <v>7.8600000000000003E-2</v>
      </c>
      <c r="O2" s="141">
        <f>G2-E2</f>
        <v>-1.2699999999999934E-2</v>
      </c>
      <c r="P2" s="142">
        <f>O2/E2</f>
        <v>-1.8764775413711486E-2</v>
      </c>
      <c r="Q2" s="143">
        <f>H2-F2</f>
        <v>-1.9000000000000128E-3</v>
      </c>
      <c r="R2" s="144">
        <f>Q2/F2</f>
        <v>-2.6592022393282194E-3</v>
      </c>
      <c r="S2" s="133">
        <f>I2-G2</f>
        <v>-6.030000000000002E-2</v>
      </c>
      <c r="T2" s="33">
        <f>S2/G2</f>
        <v>-9.0799578376750512E-2</v>
      </c>
      <c r="U2" s="32">
        <f>J2-H2</f>
        <v>-5.6100000000000039E-2</v>
      </c>
      <c r="V2" s="74">
        <f>U2/H2</f>
        <v>-7.8725792871176023E-2</v>
      </c>
      <c r="W2" s="82">
        <f>K2-G2</f>
        <v>-0.14739999999999998</v>
      </c>
      <c r="X2" s="35">
        <f>W2/G2</f>
        <v>-0.22195452492094558</v>
      </c>
      <c r="Y2" s="34">
        <f>L2-H2</f>
        <v>-0.58069999999999999</v>
      </c>
      <c r="Z2" s="83">
        <f>Y2/H2</f>
        <v>-0.81490317148470393</v>
      </c>
      <c r="AA2" s="77">
        <f>M2-G2</f>
        <v>-0.15670000000000006</v>
      </c>
      <c r="AB2" s="37">
        <f>AA2/G2</f>
        <v>-0.23595843999397689</v>
      </c>
      <c r="AC2" s="36">
        <f>N2-H2</f>
        <v>-0.63400000000000001</v>
      </c>
      <c r="AD2" s="38">
        <f>AC2/H2</f>
        <v>-0.88969969127140047</v>
      </c>
    </row>
    <row r="3" spans="1:30" x14ac:dyDescent="0.2">
      <c r="A3" s="120">
        <v>0.01</v>
      </c>
      <c r="B3" s="2">
        <v>1</v>
      </c>
      <c r="C3" s="2">
        <v>32</v>
      </c>
      <c r="D3" s="97" t="s">
        <v>15</v>
      </c>
      <c r="E3" s="127">
        <v>0.62519999999999998</v>
      </c>
      <c r="F3" s="127">
        <v>0.71750000000000003</v>
      </c>
      <c r="G3" s="127">
        <v>0.5796</v>
      </c>
      <c r="H3" s="127">
        <v>0.56020000000000003</v>
      </c>
      <c r="I3" s="127">
        <v>0.625</v>
      </c>
      <c r="J3" s="127">
        <v>0.72219999999999995</v>
      </c>
      <c r="K3" s="127">
        <v>0.51280000000000003</v>
      </c>
      <c r="L3" s="127">
        <v>9.3899999999999997E-2</v>
      </c>
      <c r="M3" s="127">
        <v>0.49020000000000002</v>
      </c>
      <c r="N3" s="130">
        <v>7.7000000000000002E-3</v>
      </c>
      <c r="O3" s="98">
        <f t="shared" ref="O3:O11" si="0">G3-E3</f>
        <v>-4.5599999999999974E-2</v>
      </c>
      <c r="P3" s="13">
        <f t="shared" ref="P3:P11" si="1">O3/E3</f>
        <v>-7.2936660268713968E-2</v>
      </c>
      <c r="Q3" s="16">
        <f t="shared" ref="Q3:Q11" si="2">H3-F3</f>
        <v>-0.1573</v>
      </c>
      <c r="R3" s="145">
        <f t="shared" ref="R3:R11" si="3">Q3/F3</f>
        <v>-0.2192334494773519</v>
      </c>
      <c r="S3" s="134">
        <f t="shared" ref="S3:S11" si="4">I3-G3</f>
        <v>4.5399999999999996E-2</v>
      </c>
      <c r="T3" s="12">
        <f t="shared" ref="T3:T11" si="5">S3/G3</f>
        <v>7.8329882677708754E-2</v>
      </c>
      <c r="U3" s="15">
        <f t="shared" ref="U3:U11" si="6">J3-H3</f>
        <v>0.16199999999999992</v>
      </c>
      <c r="V3" s="70">
        <f t="shared" ref="V3:V11" si="7">U3/H3</f>
        <v>0.28918243484469819</v>
      </c>
      <c r="W3" s="78">
        <f t="shared" ref="W3:W11" si="8">K3-G3</f>
        <v>-6.6799999999999971E-2</v>
      </c>
      <c r="X3" s="11">
        <f t="shared" ref="X3:X11" si="9">W3/G3</f>
        <v>-0.11525189786059346</v>
      </c>
      <c r="Y3" s="14">
        <f t="shared" ref="Y3:Y11" si="10">L3-H3</f>
        <v>-0.46630000000000005</v>
      </c>
      <c r="Z3" s="79">
        <f t="shared" ref="Z3:Z11" si="11">Y3/H3</f>
        <v>-0.83238129239557301</v>
      </c>
      <c r="AA3" s="75">
        <f t="shared" ref="AA3:AA11" si="12">M3-G3</f>
        <v>-8.9399999999999979E-2</v>
      </c>
      <c r="AB3" s="10">
        <f t="shared" ref="AB3:AB11" si="13">AA3/G3</f>
        <v>-0.15424430641821943</v>
      </c>
      <c r="AC3" s="9">
        <f t="shared" ref="AC3:AC11" si="14">N3-H3</f>
        <v>-0.55249999999999999</v>
      </c>
      <c r="AD3" s="40">
        <f t="shared" ref="AD3:AD11" si="15">AC3/H3</f>
        <v>-0.98625490896108525</v>
      </c>
    </row>
    <row r="4" spans="1:30" x14ac:dyDescent="0.2">
      <c r="A4" s="120">
        <v>0.01</v>
      </c>
      <c r="B4" s="2">
        <v>1</v>
      </c>
      <c r="C4" s="2">
        <v>48</v>
      </c>
      <c r="D4" s="97" t="s">
        <v>16</v>
      </c>
      <c r="E4" s="127">
        <v>0.70789999999999997</v>
      </c>
      <c r="F4" s="127">
        <v>0.75360000000000005</v>
      </c>
      <c r="G4" s="127">
        <v>0.5645</v>
      </c>
      <c r="H4" s="127">
        <v>0.69420000000000004</v>
      </c>
      <c r="I4" s="127">
        <v>0.72130000000000005</v>
      </c>
      <c r="J4" s="127">
        <v>0.76819999999999999</v>
      </c>
      <c r="K4" s="127">
        <v>0.61550000000000005</v>
      </c>
      <c r="L4" s="127">
        <v>0.42749999999999999</v>
      </c>
      <c r="M4" s="127">
        <v>0.50490000000000002</v>
      </c>
      <c r="N4" s="130">
        <v>7.0800000000000002E-2</v>
      </c>
      <c r="O4" s="98">
        <f t="shared" si="0"/>
        <v>-0.14339999999999997</v>
      </c>
      <c r="P4" s="13">
        <f t="shared" si="1"/>
        <v>-0.20257098460234493</v>
      </c>
      <c r="Q4" s="16">
        <f t="shared" si="2"/>
        <v>-5.9400000000000008E-2</v>
      </c>
      <c r="R4" s="145">
        <f t="shared" si="3"/>
        <v>-7.8821656050955424E-2</v>
      </c>
      <c r="S4" s="134">
        <f t="shared" si="4"/>
        <v>0.15680000000000005</v>
      </c>
      <c r="T4" s="12">
        <f t="shared" si="5"/>
        <v>0.27776793622674945</v>
      </c>
      <c r="U4" s="15">
        <f t="shared" si="6"/>
        <v>7.3999999999999955E-2</v>
      </c>
      <c r="V4" s="70">
        <f t="shared" si="7"/>
        <v>0.10659752232785934</v>
      </c>
      <c r="W4" s="78">
        <f t="shared" si="8"/>
        <v>5.1000000000000045E-2</v>
      </c>
      <c r="X4" s="11">
        <f t="shared" si="9"/>
        <v>9.0345438441098394E-2</v>
      </c>
      <c r="Y4" s="14">
        <f t="shared" si="10"/>
        <v>-0.26670000000000005</v>
      </c>
      <c r="Z4" s="79">
        <f t="shared" si="11"/>
        <v>-0.38418323249783931</v>
      </c>
      <c r="AA4" s="75">
        <f t="shared" si="12"/>
        <v>-5.9599999999999986E-2</v>
      </c>
      <c r="AB4" s="10">
        <f t="shared" si="13"/>
        <v>-0.10558015943312664</v>
      </c>
      <c r="AC4" s="9">
        <f t="shared" si="14"/>
        <v>-0.62340000000000007</v>
      </c>
      <c r="AD4" s="40">
        <f t="shared" si="15"/>
        <v>-0.89801210025929135</v>
      </c>
    </row>
    <row r="5" spans="1:30" x14ac:dyDescent="0.2">
      <c r="A5" s="120">
        <v>0.01</v>
      </c>
      <c r="B5" s="2">
        <v>1</v>
      </c>
      <c r="C5" s="2">
        <v>64</v>
      </c>
      <c r="D5" s="97" t="s">
        <v>17</v>
      </c>
      <c r="E5" s="127">
        <v>0.74619999999999997</v>
      </c>
      <c r="F5" s="127">
        <v>0.77210000000000001</v>
      </c>
      <c r="G5" s="127">
        <v>0.70150000000000001</v>
      </c>
      <c r="H5" s="127">
        <v>0.74519999999999997</v>
      </c>
      <c r="I5" s="127">
        <v>0.69679999999999997</v>
      </c>
      <c r="J5" s="127">
        <v>0.75629999999999997</v>
      </c>
      <c r="K5" s="127">
        <v>0.62019999999999997</v>
      </c>
      <c r="L5" s="127">
        <v>0.42120000000000002</v>
      </c>
      <c r="M5" s="127">
        <v>0.49890000000000001</v>
      </c>
      <c r="N5" s="130">
        <v>4.8899999999999999E-2</v>
      </c>
      <c r="O5" s="98">
        <f t="shared" si="0"/>
        <v>-4.4699999999999962E-2</v>
      </c>
      <c r="P5" s="13">
        <f t="shared" si="1"/>
        <v>-5.9903511123023272E-2</v>
      </c>
      <c r="Q5" s="16">
        <f t="shared" si="2"/>
        <v>-2.6900000000000035E-2</v>
      </c>
      <c r="R5" s="145">
        <f t="shared" si="3"/>
        <v>-3.4840046626084746E-2</v>
      </c>
      <c r="S5" s="134">
        <f t="shared" si="4"/>
        <v>-4.7000000000000375E-3</v>
      </c>
      <c r="T5" s="12">
        <f t="shared" si="5"/>
        <v>-6.6999287241625623E-3</v>
      </c>
      <c r="U5" s="15">
        <f t="shared" si="6"/>
        <v>1.1099999999999999E-2</v>
      </c>
      <c r="V5" s="70">
        <f t="shared" si="7"/>
        <v>1.4895330112721416E-2</v>
      </c>
      <c r="W5" s="78">
        <f t="shared" si="8"/>
        <v>-8.1300000000000039E-2</v>
      </c>
      <c r="X5" s="11">
        <f t="shared" si="9"/>
        <v>-0.11589451176051324</v>
      </c>
      <c r="Y5" s="14">
        <f t="shared" si="10"/>
        <v>-0.32399999999999995</v>
      </c>
      <c r="Z5" s="79">
        <f t="shared" si="11"/>
        <v>-0.43478260869565211</v>
      </c>
      <c r="AA5" s="75">
        <f t="shared" si="12"/>
        <v>-0.2026</v>
      </c>
      <c r="AB5" s="10">
        <f t="shared" si="13"/>
        <v>-0.28880969351389879</v>
      </c>
      <c r="AC5" s="9">
        <f t="shared" si="14"/>
        <v>-0.69629999999999992</v>
      </c>
      <c r="AD5" s="40">
        <f t="shared" si="15"/>
        <v>-0.93438003220611909</v>
      </c>
    </row>
    <row r="6" spans="1:30" ht="17" thickBot="1" x14ac:dyDescent="0.25">
      <c r="A6" s="121">
        <v>0.01</v>
      </c>
      <c r="B6" s="122">
        <v>1</v>
      </c>
      <c r="C6" s="122">
        <v>128</v>
      </c>
      <c r="D6" s="123" t="s">
        <v>18</v>
      </c>
      <c r="E6" s="131">
        <v>0.69840000000000002</v>
      </c>
      <c r="F6" s="131">
        <v>0.74529999999999996</v>
      </c>
      <c r="G6" s="131">
        <v>0.68859999999999999</v>
      </c>
      <c r="H6" s="131">
        <v>0.72519999999999996</v>
      </c>
      <c r="I6" s="131">
        <v>0.7288</v>
      </c>
      <c r="J6" s="131">
        <v>0.74480000000000002</v>
      </c>
      <c r="K6" s="131">
        <v>0.5292</v>
      </c>
      <c r="L6" s="131">
        <v>0.17649999999999999</v>
      </c>
      <c r="M6" s="131">
        <v>0.50329999999999997</v>
      </c>
      <c r="N6" s="132">
        <v>7.0800000000000002E-2</v>
      </c>
      <c r="O6" s="146">
        <f t="shared" si="0"/>
        <v>-9.8000000000000309E-3</v>
      </c>
      <c r="P6" s="147">
        <f t="shared" si="1"/>
        <v>-1.403207331042387E-2</v>
      </c>
      <c r="Q6" s="148">
        <f t="shared" si="2"/>
        <v>-2.0100000000000007E-2</v>
      </c>
      <c r="R6" s="149">
        <f t="shared" si="3"/>
        <v>-2.6969005769488807E-2</v>
      </c>
      <c r="S6" s="135">
        <f t="shared" si="4"/>
        <v>4.0200000000000014E-2</v>
      </c>
      <c r="T6" s="51">
        <f t="shared" si="5"/>
        <v>5.8379320360151053E-2</v>
      </c>
      <c r="U6" s="50">
        <f t="shared" si="6"/>
        <v>1.9600000000000062E-2</v>
      </c>
      <c r="V6" s="72">
        <f t="shared" si="7"/>
        <v>2.7027027027027115E-2</v>
      </c>
      <c r="W6" s="80">
        <f t="shared" si="8"/>
        <v>-0.15939999999999999</v>
      </c>
      <c r="X6" s="53">
        <f t="shared" si="9"/>
        <v>-0.23148417078129538</v>
      </c>
      <c r="Y6" s="52">
        <f t="shared" si="10"/>
        <v>-0.54869999999999997</v>
      </c>
      <c r="Z6" s="81">
        <f t="shared" si="11"/>
        <v>-0.75661886376172094</v>
      </c>
      <c r="AA6" s="76">
        <f t="shared" si="12"/>
        <v>-0.18530000000000002</v>
      </c>
      <c r="AB6" s="55">
        <f t="shared" si="13"/>
        <v>-0.26909671797850715</v>
      </c>
      <c r="AC6" s="54">
        <f t="shared" si="14"/>
        <v>-0.65439999999999998</v>
      </c>
      <c r="AD6" s="56">
        <f t="shared" si="15"/>
        <v>-0.90237175951461668</v>
      </c>
    </row>
    <row r="7" spans="1:30" x14ac:dyDescent="0.2">
      <c r="A7" s="124">
        <v>0.03</v>
      </c>
      <c r="B7" s="125">
        <v>3</v>
      </c>
      <c r="C7" s="125">
        <v>16</v>
      </c>
      <c r="D7" s="126" t="s">
        <v>19</v>
      </c>
      <c r="E7" s="128">
        <v>0.66459999999999997</v>
      </c>
      <c r="F7" s="128">
        <v>0.73060000000000003</v>
      </c>
      <c r="G7" s="128">
        <v>0.7107</v>
      </c>
      <c r="H7" s="128">
        <v>0.75729999999999997</v>
      </c>
      <c r="I7" s="128">
        <v>0.73270000000000002</v>
      </c>
      <c r="J7" s="128">
        <v>0.76880000000000004</v>
      </c>
      <c r="K7" s="128">
        <v>0.66169999999999995</v>
      </c>
      <c r="L7" s="128">
        <v>0.55500000000000005</v>
      </c>
      <c r="M7" s="128">
        <v>0.51170000000000004</v>
      </c>
      <c r="N7" s="129">
        <v>0.15540000000000001</v>
      </c>
      <c r="O7" s="137">
        <f t="shared" si="0"/>
        <v>4.610000000000003E-2</v>
      </c>
      <c r="P7" s="138">
        <f t="shared" si="1"/>
        <v>6.9365031597953708E-2</v>
      </c>
      <c r="Q7" s="139">
        <f t="shared" si="2"/>
        <v>2.6699999999999946E-2</v>
      </c>
      <c r="R7" s="140">
        <f t="shared" si="3"/>
        <v>3.6545305228579177E-2</v>
      </c>
      <c r="S7" s="73">
        <f t="shared" si="4"/>
        <v>2.200000000000002E-2</v>
      </c>
      <c r="T7" s="33">
        <f t="shared" si="5"/>
        <v>3.0955396088363611E-2</v>
      </c>
      <c r="U7" s="32">
        <f t="shared" si="6"/>
        <v>1.1500000000000066E-2</v>
      </c>
      <c r="V7" s="74">
        <f t="shared" si="7"/>
        <v>1.5185527532021743E-2</v>
      </c>
      <c r="W7" s="82">
        <f t="shared" si="8"/>
        <v>-4.9000000000000044E-2</v>
      </c>
      <c r="X7" s="35">
        <f t="shared" si="9"/>
        <v>-6.8946109469537137E-2</v>
      </c>
      <c r="Y7" s="34">
        <f t="shared" si="10"/>
        <v>-0.20229999999999992</v>
      </c>
      <c r="Z7" s="83">
        <f t="shared" si="11"/>
        <v>-0.26713323649808524</v>
      </c>
      <c r="AA7" s="77">
        <f t="shared" si="12"/>
        <v>-0.19899999999999995</v>
      </c>
      <c r="AB7" s="37">
        <f t="shared" si="13"/>
        <v>-0.28000562825383418</v>
      </c>
      <c r="AC7" s="36">
        <f t="shared" si="14"/>
        <v>-0.60189999999999999</v>
      </c>
      <c r="AD7" s="38">
        <f t="shared" si="15"/>
        <v>-0.79479730621946387</v>
      </c>
    </row>
    <row r="8" spans="1:30" x14ac:dyDescent="0.2">
      <c r="A8" s="120">
        <v>0.03</v>
      </c>
      <c r="B8" s="2">
        <v>3</v>
      </c>
      <c r="C8" s="2">
        <v>32</v>
      </c>
      <c r="D8" s="97" t="s">
        <v>20</v>
      </c>
      <c r="E8" s="127">
        <v>0.69710000000000005</v>
      </c>
      <c r="F8" s="127">
        <v>0.74919999999999998</v>
      </c>
      <c r="G8" s="127">
        <v>0.73929999999999996</v>
      </c>
      <c r="H8" s="127">
        <v>0.7712</v>
      </c>
      <c r="I8" s="127">
        <v>0.62890000000000001</v>
      </c>
      <c r="J8" s="127">
        <v>0.71540000000000004</v>
      </c>
      <c r="K8" s="127">
        <v>0.69979999999999998</v>
      </c>
      <c r="L8" s="127">
        <v>0.63990000000000002</v>
      </c>
      <c r="M8" s="127">
        <v>0.49930000000000002</v>
      </c>
      <c r="N8" s="130">
        <v>8.1500000000000003E-2</v>
      </c>
      <c r="O8" s="98">
        <f t="shared" si="0"/>
        <v>4.2199999999999904E-2</v>
      </c>
      <c r="P8" s="13">
        <f t="shared" si="1"/>
        <v>6.0536508391909195E-2</v>
      </c>
      <c r="Q8" s="16">
        <f t="shared" si="2"/>
        <v>2.200000000000002E-2</v>
      </c>
      <c r="R8" s="64">
        <f t="shared" si="3"/>
        <v>2.9364655632674881E-2</v>
      </c>
      <c r="S8" s="69">
        <f t="shared" si="4"/>
        <v>-0.11039999999999994</v>
      </c>
      <c r="T8" s="12">
        <f t="shared" si="5"/>
        <v>-0.14933044772081691</v>
      </c>
      <c r="U8" s="15">
        <f t="shared" si="6"/>
        <v>-5.5799999999999961E-2</v>
      </c>
      <c r="V8" s="70">
        <f t="shared" si="7"/>
        <v>-7.2354771784232316E-2</v>
      </c>
      <c r="W8" s="78">
        <f t="shared" si="8"/>
        <v>-3.949999999999998E-2</v>
      </c>
      <c r="X8" s="11">
        <f t="shared" si="9"/>
        <v>-5.3428919247937211E-2</v>
      </c>
      <c r="Y8" s="14">
        <f t="shared" si="10"/>
        <v>-0.13129999999999997</v>
      </c>
      <c r="Z8" s="79">
        <f t="shared" si="11"/>
        <v>-0.17025414937759334</v>
      </c>
      <c r="AA8" s="75">
        <f t="shared" si="12"/>
        <v>-0.23999999999999994</v>
      </c>
      <c r="AB8" s="10">
        <f t="shared" si="13"/>
        <v>-0.32463140808873253</v>
      </c>
      <c r="AC8" s="9">
        <f t="shared" si="14"/>
        <v>-0.68969999999999998</v>
      </c>
      <c r="AD8" s="40">
        <f t="shared" si="15"/>
        <v>-0.89432053941908707</v>
      </c>
    </row>
    <row r="9" spans="1:30" x14ac:dyDescent="0.2">
      <c r="A9" s="120">
        <v>0.03</v>
      </c>
      <c r="B9" s="2">
        <v>3</v>
      </c>
      <c r="C9" s="2">
        <v>48</v>
      </c>
      <c r="D9" s="97" t="s">
        <v>21</v>
      </c>
      <c r="E9" s="127">
        <v>0.61150000000000004</v>
      </c>
      <c r="F9" s="127">
        <v>0.71499999999999997</v>
      </c>
      <c r="G9" s="127">
        <v>0.66679999999999995</v>
      </c>
      <c r="H9" s="127">
        <v>0.73560000000000003</v>
      </c>
      <c r="I9" s="127">
        <v>0.621</v>
      </c>
      <c r="J9" s="127">
        <v>0.7137</v>
      </c>
      <c r="K9" s="127">
        <v>0.63490000000000002</v>
      </c>
      <c r="L9" s="127">
        <v>0.47149999999999997</v>
      </c>
      <c r="M9" s="127">
        <v>0.5101</v>
      </c>
      <c r="N9" s="130">
        <v>0.1013</v>
      </c>
      <c r="O9" s="98">
        <f t="shared" si="0"/>
        <v>5.5299999999999905E-2</v>
      </c>
      <c r="P9" s="13">
        <f t="shared" si="1"/>
        <v>9.0433360588716108E-2</v>
      </c>
      <c r="Q9" s="16">
        <f t="shared" si="2"/>
        <v>2.0600000000000063E-2</v>
      </c>
      <c r="R9" s="64">
        <f t="shared" si="3"/>
        <v>2.8811188811188899E-2</v>
      </c>
      <c r="S9" s="69">
        <f t="shared" si="4"/>
        <v>-4.5799999999999952E-2</v>
      </c>
      <c r="T9" s="12">
        <f t="shared" si="5"/>
        <v>-6.8686262747450447E-2</v>
      </c>
      <c r="U9" s="15">
        <f t="shared" si="6"/>
        <v>-2.1900000000000031E-2</v>
      </c>
      <c r="V9" s="70">
        <f t="shared" si="7"/>
        <v>-2.9771615008156647E-2</v>
      </c>
      <c r="W9" s="78">
        <f t="shared" si="8"/>
        <v>-3.1899999999999928E-2</v>
      </c>
      <c r="X9" s="11">
        <f t="shared" si="9"/>
        <v>-4.7840431913617171E-2</v>
      </c>
      <c r="Y9" s="14">
        <f t="shared" si="10"/>
        <v>-0.26410000000000006</v>
      </c>
      <c r="Z9" s="79">
        <f t="shared" si="11"/>
        <v>-0.35902664491571512</v>
      </c>
      <c r="AA9" s="75">
        <f t="shared" si="12"/>
        <v>-0.15669999999999995</v>
      </c>
      <c r="AB9" s="10">
        <f t="shared" si="13"/>
        <v>-0.23500299940011993</v>
      </c>
      <c r="AC9" s="9">
        <f t="shared" si="14"/>
        <v>-0.63430000000000009</v>
      </c>
      <c r="AD9" s="40">
        <f t="shared" si="15"/>
        <v>-0.86228928765633506</v>
      </c>
    </row>
    <row r="10" spans="1:30" x14ac:dyDescent="0.2">
      <c r="A10" s="120">
        <v>0.03</v>
      </c>
      <c r="B10" s="2">
        <v>3</v>
      </c>
      <c r="C10" s="2">
        <v>64</v>
      </c>
      <c r="D10" s="97" t="s">
        <v>22</v>
      </c>
      <c r="E10" s="127">
        <v>0.62790000000000001</v>
      </c>
      <c r="F10" s="127">
        <v>0.72009999999999996</v>
      </c>
      <c r="G10" s="127">
        <v>0.71940000000000004</v>
      </c>
      <c r="H10" s="127">
        <v>0.76190000000000002</v>
      </c>
      <c r="I10" s="127">
        <v>0.66879999999999995</v>
      </c>
      <c r="J10" s="127">
        <v>0.73399999999999999</v>
      </c>
      <c r="K10" s="127">
        <v>0.71330000000000005</v>
      </c>
      <c r="L10" s="127">
        <v>0.68</v>
      </c>
      <c r="M10" s="127">
        <v>0.51070000000000004</v>
      </c>
      <c r="N10" s="130">
        <v>0.1139</v>
      </c>
      <c r="O10" s="98">
        <f t="shared" si="0"/>
        <v>9.1500000000000026E-2</v>
      </c>
      <c r="P10" s="13">
        <f t="shared" si="1"/>
        <v>0.14572384137601532</v>
      </c>
      <c r="Q10" s="16">
        <f t="shared" si="2"/>
        <v>4.1800000000000059E-2</v>
      </c>
      <c r="R10" s="64">
        <f t="shared" si="3"/>
        <v>5.8047493403694014E-2</v>
      </c>
      <c r="S10" s="69">
        <f t="shared" si="4"/>
        <v>-5.0600000000000089E-2</v>
      </c>
      <c r="T10" s="12">
        <f t="shared" si="5"/>
        <v>-7.0336391437308993E-2</v>
      </c>
      <c r="U10" s="15">
        <f t="shared" si="6"/>
        <v>-2.7900000000000036E-2</v>
      </c>
      <c r="V10" s="70">
        <f t="shared" si="7"/>
        <v>-3.6618978868617973E-2</v>
      </c>
      <c r="W10" s="78">
        <f t="shared" si="8"/>
        <v>-6.0999999999999943E-3</v>
      </c>
      <c r="X10" s="11">
        <f t="shared" si="9"/>
        <v>-8.4792882958020493E-3</v>
      </c>
      <c r="Y10" s="14">
        <f t="shared" si="10"/>
        <v>-8.1899999999999973E-2</v>
      </c>
      <c r="Z10" s="79">
        <f t="shared" si="11"/>
        <v>-0.10749442184013647</v>
      </c>
      <c r="AA10" s="75">
        <f t="shared" si="12"/>
        <v>-0.2087</v>
      </c>
      <c r="AB10" s="10">
        <f t="shared" si="13"/>
        <v>-0.29010286349735886</v>
      </c>
      <c r="AC10" s="9">
        <f t="shared" si="14"/>
        <v>-0.64800000000000002</v>
      </c>
      <c r="AD10" s="40">
        <f t="shared" si="15"/>
        <v>-0.85050531565822285</v>
      </c>
    </row>
    <row r="11" spans="1:30" ht="17" thickBot="1" x14ac:dyDescent="0.25">
      <c r="A11" s="121">
        <v>0.03</v>
      </c>
      <c r="B11" s="122">
        <v>3</v>
      </c>
      <c r="C11" s="122">
        <v>128</v>
      </c>
      <c r="D11" s="123" t="s">
        <v>23</v>
      </c>
      <c r="E11" s="131">
        <v>0.69230000000000003</v>
      </c>
      <c r="F11" s="131">
        <v>0.72340000000000004</v>
      </c>
      <c r="G11" s="131">
        <v>0.71679999999999999</v>
      </c>
      <c r="H11" s="131">
        <v>0.76749999999999996</v>
      </c>
      <c r="I11" s="131">
        <v>0.72640000000000005</v>
      </c>
      <c r="J11" s="131">
        <v>0.77339999999999998</v>
      </c>
      <c r="K11" s="131">
        <v>0.60840000000000005</v>
      </c>
      <c r="L11" s="131">
        <v>0.37909999999999999</v>
      </c>
      <c r="M11" s="131">
        <v>0.5101</v>
      </c>
      <c r="N11" s="132">
        <v>9.1800000000000007E-2</v>
      </c>
      <c r="O11" s="99">
        <f t="shared" si="0"/>
        <v>2.4499999999999966E-2</v>
      </c>
      <c r="P11" s="48">
        <f t="shared" si="1"/>
        <v>3.5389282103134433E-2</v>
      </c>
      <c r="Q11" s="49">
        <f t="shared" si="2"/>
        <v>4.4099999999999917E-2</v>
      </c>
      <c r="R11" s="66">
        <f t="shared" si="3"/>
        <v>6.0962123306607566E-2</v>
      </c>
      <c r="S11" s="110">
        <f t="shared" si="4"/>
        <v>9.6000000000000529E-3</v>
      </c>
      <c r="T11" s="18">
        <f t="shared" si="5"/>
        <v>1.3392857142857217E-2</v>
      </c>
      <c r="U11" s="17">
        <f t="shared" si="6"/>
        <v>5.9000000000000163E-3</v>
      </c>
      <c r="V11" s="111">
        <f t="shared" si="7"/>
        <v>7.6872964169381322E-3</v>
      </c>
      <c r="W11" s="112">
        <f t="shared" si="8"/>
        <v>-0.10839999999999994</v>
      </c>
      <c r="X11" s="20">
        <f t="shared" si="9"/>
        <v>-0.15122767857142849</v>
      </c>
      <c r="Y11" s="19">
        <f t="shared" si="10"/>
        <v>-0.38839999999999997</v>
      </c>
      <c r="Z11" s="113">
        <f t="shared" si="11"/>
        <v>-0.5060586319218241</v>
      </c>
      <c r="AA11" s="114">
        <f t="shared" si="12"/>
        <v>-0.20669999999999999</v>
      </c>
      <c r="AB11" s="22">
        <f t="shared" si="13"/>
        <v>-0.28836495535714285</v>
      </c>
      <c r="AC11" s="21">
        <f t="shared" si="14"/>
        <v>-0.67569999999999997</v>
      </c>
      <c r="AD11" s="115">
        <f t="shared" si="15"/>
        <v>-0.88039087947882733</v>
      </c>
    </row>
    <row r="12" spans="1:30" x14ac:dyDescent="0.2">
      <c r="D12" s="100"/>
      <c r="S12" s="101" t="s">
        <v>27</v>
      </c>
      <c r="T12" s="101" t="s">
        <v>28</v>
      </c>
      <c r="U12" s="101" t="s">
        <v>29</v>
      </c>
      <c r="V12" s="101" t="s">
        <v>30</v>
      </c>
      <c r="W12" s="102" t="s">
        <v>31</v>
      </c>
      <c r="X12" s="102" t="s">
        <v>32</v>
      </c>
      <c r="Y12" s="102" t="s">
        <v>34</v>
      </c>
      <c r="Z12" s="102" t="s">
        <v>35</v>
      </c>
      <c r="AA12" s="103" t="s">
        <v>31</v>
      </c>
      <c r="AB12" s="103" t="s">
        <v>32</v>
      </c>
      <c r="AC12" s="103" t="s">
        <v>34</v>
      </c>
      <c r="AD12" s="103" t="s">
        <v>35</v>
      </c>
    </row>
    <row r="13" spans="1:30" x14ac:dyDescent="0.2">
      <c r="S13" s="104">
        <f>I2-E2</f>
        <v>-7.2999999999999954E-2</v>
      </c>
      <c r="T13" s="105">
        <f>S13/E2</f>
        <v>-0.10786052009456258</v>
      </c>
      <c r="U13" s="104">
        <f>J2-F2</f>
        <v>-5.8000000000000052E-2</v>
      </c>
      <c r="V13" s="105">
        <f>U13/F2</f>
        <v>-8.1175647305808327E-2</v>
      </c>
      <c r="W13" s="106">
        <f>K2-E2</f>
        <v>-0.16009999999999991</v>
      </c>
      <c r="X13" s="107">
        <f>W13/E2</f>
        <v>-0.23655437352245851</v>
      </c>
      <c r="Y13" s="106">
        <f>L2-F2</f>
        <v>-0.58260000000000001</v>
      </c>
      <c r="Z13" s="107">
        <f>Y13/F2</f>
        <v>-0.81539538138558432</v>
      </c>
      <c r="AA13" s="108">
        <f>M2-E2</f>
        <v>-0.1694</v>
      </c>
      <c r="AB13" s="109">
        <f>AA13/G2</f>
        <v>-0.25508206595392258</v>
      </c>
      <c r="AC13" s="108">
        <f>N2-F2</f>
        <v>-0.63590000000000002</v>
      </c>
      <c r="AD13" s="109">
        <f>AC13/F2</f>
        <v>-0.88999300209937016</v>
      </c>
    </row>
    <row r="14" spans="1:30" x14ac:dyDescent="0.2">
      <c r="S14" s="104">
        <f t="shared" ref="S14:S22" si="16">I3-E3</f>
        <v>-1.9999999999997797E-4</v>
      </c>
      <c r="T14" s="105">
        <f t="shared" ref="T14:T22" si="17">S14/E3</f>
        <v>-3.198976327574824E-4</v>
      </c>
      <c r="U14" s="104">
        <f t="shared" ref="U14:U22" si="18">J3-F3</f>
        <v>4.6999999999999265E-3</v>
      </c>
      <c r="V14" s="105">
        <f t="shared" ref="V14:V22" si="19">U14/F3</f>
        <v>6.5505226480835213E-3</v>
      </c>
      <c r="W14" s="106">
        <f t="shared" ref="W14:W22" si="20">K3-E3</f>
        <v>-0.11239999999999994</v>
      </c>
      <c r="X14" s="107">
        <f t="shared" ref="X14:X22" si="21">W14/E3</f>
        <v>-0.1797824696097248</v>
      </c>
      <c r="Y14" s="106">
        <f t="shared" ref="Y14:Y22" si="22">L3-F3</f>
        <v>-0.62360000000000004</v>
      </c>
      <c r="Z14" s="107">
        <f t="shared" ref="Z14:Z22" si="23">Y14/F3</f>
        <v>-0.86912891986062724</v>
      </c>
      <c r="AA14" s="108">
        <f t="shared" ref="AA14:AA22" si="24">M3-E3</f>
        <v>-0.13499999999999995</v>
      </c>
      <c r="AB14" s="109">
        <f t="shared" ref="AB14:AB22" si="25">AA14/G3</f>
        <v>-0.23291925465838501</v>
      </c>
      <c r="AC14" s="108">
        <f t="shared" ref="AC14:AC22" si="26">N3-F3</f>
        <v>-0.70979999999999999</v>
      </c>
      <c r="AD14" s="109">
        <f t="shared" ref="AD14:AD22" si="27">AC14/F3</f>
        <v>-0.98926829268292682</v>
      </c>
    </row>
    <row r="15" spans="1:30" x14ac:dyDescent="0.2">
      <c r="S15" s="104">
        <f t="shared" si="16"/>
        <v>1.3400000000000079E-2</v>
      </c>
      <c r="T15" s="105">
        <f t="shared" si="17"/>
        <v>1.8929227291990505E-2</v>
      </c>
      <c r="U15" s="104">
        <f t="shared" si="18"/>
        <v>1.4599999999999946E-2</v>
      </c>
      <c r="V15" s="105">
        <f t="shared" si="19"/>
        <v>1.9373673036093345E-2</v>
      </c>
      <c r="W15" s="106">
        <f t="shared" si="20"/>
        <v>-9.2399999999999927E-2</v>
      </c>
      <c r="X15" s="107">
        <f t="shared" si="21"/>
        <v>-0.13052691058059038</v>
      </c>
      <c r="Y15" s="106">
        <f t="shared" si="22"/>
        <v>-0.32610000000000006</v>
      </c>
      <c r="Z15" s="107">
        <f t="shared" si="23"/>
        <v>-0.43272292993630579</v>
      </c>
      <c r="AA15" s="108">
        <f t="shared" si="24"/>
        <v>-0.20299999999999996</v>
      </c>
      <c r="AB15" s="109">
        <f t="shared" si="25"/>
        <v>-0.35961027457927364</v>
      </c>
      <c r="AC15" s="108">
        <f t="shared" si="26"/>
        <v>-0.68280000000000007</v>
      </c>
      <c r="AD15" s="109">
        <f t="shared" si="27"/>
        <v>-0.90605095541401282</v>
      </c>
    </row>
    <row r="16" spans="1:30" x14ac:dyDescent="0.2">
      <c r="S16" s="104">
        <f t="shared" si="16"/>
        <v>-4.9399999999999999E-2</v>
      </c>
      <c r="T16" s="105">
        <f t="shared" si="17"/>
        <v>-6.6202090592334492E-2</v>
      </c>
      <c r="U16" s="104">
        <f t="shared" si="18"/>
        <v>-1.5800000000000036E-2</v>
      </c>
      <c r="V16" s="105">
        <f t="shared" si="19"/>
        <v>-2.0463670509001473E-2</v>
      </c>
      <c r="W16" s="106">
        <f t="shared" si="20"/>
        <v>-0.126</v>
      </c>
      <c r="X16" s="107">
        <f t="shared" si="21"/>
        <v>-0.16885553470919326</v>
      </c>
      <c r="Y16" s="106">
        <f t="shared" si="22"/>
        <v>-0.35089999999999999</v>
      </c>
      <c r="Z16" s="107">
        <f t="shared" si="23"/>
        <v>-0.45447480896256959</v>
      </c>
      <c r="AA16" s="108">
        <f t="shared" si="24"/>
        <v>-0.24729999999999996</v>
      </c>
      <c r="AB16" s="109">
        <f t="shared" si="25"/>
        <v>-0.35253029223093368</v>
      </c>
      <c r="AC16" s="108">
        <f t="shared" si="26"/>
        <v>-0.72320000000000007</v>
      </c>
      <c r="AD16" s="109">
        <f t="shared" si="27"/>
        <v>-0.93666623494366019</v>
      </c>
    </row>
    <row r="17" spans="19:30" x14ac:dyDescent="0.2">
      <c r="S17" s="104">
        <f t="shared" si="16"/>
        <v>3.0399999999999983E-2</v>
      </c>
      <c r="T17" s="105">
        <f t="shared" si="17"/>
        <v>4.3528064146620825E-2</v>
      </c>
      <c r="U17" s="104">
        <f t="shared" si="18"/>
        <v>-4.9999999999994493E-4</v>
      </c>
      <c r="V17" s="105">
        <f t="shared" si="19"/>
        <v>-6.7087079028571714E-4</v>
      </c>
      <c r="W17" s="106">
        <f t="shared" si="20"/>
        <v>-0.16920000000000002</v>
      </c>
      <c r="X17" s="107">
        <f t="shared" si="21"/>
        <v>-0.24226804123711343</v>
      </c>
      <c r="Y17" s="106">
        <f t="shared" si="22"/>
        <v>-0.56879999999999997</v>
      </c>
      <c r="Z17" s="107">
        <f t="shared" si="23"/>
        <v>-0.76318261102911578</v>
      </c>
      <c r="AA17" s="108">
        <f t="shared" si="24"/>
        <v>-0.19510000000000005</v>
      </c>
      <c r="AB17" s="109">
        <f t="shared" si="25"/>
        <v>-0.28332849259366838</v>
      </c>
      <c r="AC17" s="108">
        <f t="shared" si="26"/>
        <v>-0.67449999999999999</v>
      </c>
      <c r="AD17" s="109">
        <f t="shared" si="27"/>
        <v>-0.90500469609553202</v>
      </c>
    </row>
    <row r="18" spans="19:30" x14ac:dyDescent="0.2">
      <c r="S18" s="104">
        <f t="shared" si="16"/>
        <v>6.8100000000000049E-2</v>
      </c>
      <c r="T18" s="105">
        <f t="shared" si="17"/>
        <v>0.10246764971411383</v>
      </c>
      <c r="U18" s="104">
        <f t="shared" si="18"/>
        <v>3.8200000000000012E-2</v>
      </c>
      <c r="V18" s="105">
        <f>U18/F7</f>
        <v>5.2285792499315642E-2</v>
      </c>
      <c r="W18" s="106">
        <f t="shared" si="20"/>
        <v>-2.9000000000000137E-3</v>
      </c>
      <c r="X18" s="107">
        <f t="shared" si="21"/>
        <v>-4.363526933493852E-3</v>
      </c>
      <c r="Y18" s="106">
        <f t="shared" si="22"/>
        <v>-0.17559999999999998</v>
      </c>
      <c r="Z18" s="107">
        <f t="shared" si="23"/>
        <v>-0.24035039693402679</v>
      </c>
      <c r="AA18" s="108">
        <f t="shared" si="24"/>
        <v>-0.15289999999999992</v>
      </c>
      <c r="AB18" s="109">
        <f t="shared" si="25"/>
        <v>-0.21514000281412682</v>
      </c>
      <c r="AC18" s="108">
        <f t="shared" si="26"/>
        <v>-0.57520000000000004</v>
      </c>
      <c r="AD18" s="109">
        <f t="shared" si="27"/>
        <v>-0.78729811114152759</v>
      </c>
    </row>
    <row r="19" spans="19:30" x14ac:dyDescent="0.2">
      <c r="S19" s="104">
        <f t="shared" si="16"/>
        <v>-6.8200000000000038E-2</v>
      </c>
      <c r="T19" s="105">
        <f t="shared" si="17"/>
        <v>-9.7833883230526511E-2</v>
      </c>
      <c r="U19" s="104">
        <f t="shared" si="18"/>
        <v>-3.3799999999999941E-2</v>
      </c>
      <c r="V19" s="105">
        <f>U19/F8</f>
        <v>-4.5114789108382194E-2</v>
      </c>
      <c r="W19" s="106">
        <f t="shared" si="20"/>
        <v>2.6999999999999247E-3</v>
      </c>
      <c r="X19" s="107">
        <f t="shared" si="21"/>
        <v>3.8731889255485936E-3</v>
      </c>
      <c r="Y19" s="106">
        <f t="shared" si="22"/>
        <v>-0.10929999999999995</v>
      </c>
      <c r="Z19" s="107">
        <f t="shared" si="23"/>
        <v>-0.14588894821142545</v>
      </c>
      <c r="AA19" s="108">
        <f t="shared" si="24"/>
        <v>-0.19780000000000003</v>
      </c>
      <c r="AB19" s="109">
        <f t="shared" si="25"/>
        <v>-0.26755038549979715</v>
      </c>
      <c r="AC19" s="108">
        <f t="shared" si="26"/>
        <v>-0.66769999999999996</v>
      </c>
      <c r="AD19" s="109">
        <f t="shared" si="27"/>
        <v>-0.89121729845168174</v>
      </c>
    </row>
    <row r="20" spans="19:30" x14ac:dyDescent="0.2">
      <c r="S20" s="104">
        <f t="shared" si="16"/>
        <v>9.4999999999999529E-3</v>
      </c>
      <c r="T20" s="105">
        <f t="shared" si="17"/>
        <v>1.5535568274734181E-2</v>
      </c>
      <c r="U20" s="104">
        <f t="shared" si="18"/>
        <v>-1.2999999999999678E-3</v>
      </c>
      <c r="V20" s="105">
        <f t="shared" si="19"/>
        <v>-1.8181818181817733E-3</v>
      </c>
      <c r="W20" s="106">
        <f t="shared" si="20"/>
        <v>2.3399999999999976E-2</v>
      </c>
      <c r="X20" s="107">
        <f t="shared" si="21"/>
        <v>3.8266557645134876E-2</v>
      </c>
      <c r="Y20" s="106">
        <f t="shared" si="22"/>
        <v>-0.24349999999999999</v>
      </c>
      <c r="Z20" s="107">
        <f t="shared" si="23"/>
        <v>-0.34055944055944054</v>
      </c>
      <c r="AA20" s="108">
        <f t="shared" si="24"/>
        <v>-0.10140000000000005</v>
      </c>
      <c r="AB20" s="109">
        <f t="shared" si="25"/>
        <v>-0.15206958608278354</v>
      </c>
      <c r="AC20" s="108">
        <f t="shared" si="26"/>
        <v>-0.61369999999999991</v>
      </c>
      <c r="AD20" s="109">
        <f t="shared" si="27"/>
        <v>-0.85832167832167827</v>
      </c>
    </row>
    <row r="21" spans="19:30" x14ac:dyDescent="0.2">
      <c r="S21" s="104">
        <f t="shared" si="16"/>
        <v>4.0899999999999936E-2</v>
      </c>
      <c r="T21" s="105">
        <f t="shared" si="17"/>
        <v>6.5137760789934607E-2</v>
      </c>
      <c r="U21" s="104">
        <f t="shared" si="18"/>
        <v>1.3900000000000023E-2</v>
      </c>
      <c r="V21" s="105">
        <f t="shared" si="19"/>
        <v>1.930287460074993E-2</v>
      </c>
      <c r="W21" s="106">
        <f t="shared" si="20"/>
        <v>8.5400000000000031E-2</v>
      </c>
      <c r="X21" s="107">
        <f t="shared" si="21"/>
        <v>0.13600891861761433</v>
      </c>
      <c r="Y21" s="106">
        <f t="shared" si="22"/>
        <v>-4.0099999999999913E-2</v>
      </c>
      <c r="Z21" s="107">
        <f t="shared" si="23"/>
        <v>-5.5686710179141667E-2</v>
      </c>
      <c r="AA21" s="108">
        <f t="shared" si="24"/>
        <v>-0.11719999999999997</v>
      </c>
      <c r="AB21" s="109">
        <f t="shared" si="25"/>
        <v>-0.16291353906032799</v>
      </c>
      <c r="AC21" s="108">
        <f t="shared" si="26"/>
        <v>-0.60619999999999996</v>
      </c>
      <c r="AD21" s="109">
        <f t="shared" si="27"/>
        <v>-0.84182752395500626</v>
      </c>
    </row>
    <row r="22" spans="19:30" x14ac:dyDescent="0.2">
      <c r="S22" s="104">
        <f t="shared" si="16"/>
        <v>3.4100000000000019E-2</v>
      </c>
      <c r="T22" s="105">
        <f t="shared" si="17"/>
        <v>4.92561028455872E-2</v>
      </c>
      <c r="U22" s="104">
        <f t="shared" si="18"/>
        <v>4.9999999999999933E-2</v>
      </c>
      <c r="V22" s="105">
        <f t="shared" si="19"/>
        <v>6.9118053635609522E-2</v>
      </c>
      <c r="W22" s="106">
        <f t="shared" si="20"/>
        <v>-8.3899999999999975E-2</v>
      </c>
      <c r="X22" s="107">
        <f t="shared" si="21"/>
        <v>-0.12119023544706048</v>
      </c>
      <c r="Y22" s="106">
        <f t="shared" si="22"/>
        <v>-0.34430000000000005</v>
      </c>
      <c r="Z22" s="107">
        <f t="shared" si="23"/>
        <v>-0.47594691733480787</v>
      </c>
      <c r="AA22" s="108">
        <f t="shared" si="24"/>
        <v>-0.18220000000000003</v>
      </c>
      <c r="AB22" s="109">
        <f t="shared" si="25"/>
        <v>-0.2541852678571429</v>
      </c>
      <c r="AC22" s="108">
        <f t="shared" si="26"/>
        <v>-0.63160000000000005</v>
      </c>
      <c r="AD22" s="109">
        <f t="shared" si="27"/>
        <v>-0.87309925352502071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Mac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Russo - daniele.russo17@studio.unibo.it</dc:creator>
  <cp:lastModifiedBy>Daniele Russo - daniele.russo17@studio.unibo.it</cp:lastModifiedBy>
  <dcterms:created xsi:type="dcterms:W3CDTF">2025-12-02T17:10:48Z</dcterms:created>
  <dcterms:modified xsi:type="dcterms:W3CDTF">2025-12-08T00:41:57Z</dcterms:modified>
</cp:coreProperties>
</file>
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erusso/Documents/GitHub/Cybersecurity_Project/Results/ember2018 - mac/analysis_plots/"/>
    </mc:Choice>
  </mc:AlternateContent>
  <xr:revisionPtr revIDLastSave="0" documentId="8_{FBFA87F4-54CC-404D-B7CF-0C3AD59FF518}" xr6:coauthVersionLast="47" xr6:coauthVersionMax="47" xr10:uidLastSave="{00000000-0000-0000-0000-000000000000}"/>
  <bookViews>
    <workbookView xWindow="0" yWindow="500" windowWidth="28800" windowHeight="15780" xr2:uid="{533EED6B-4744-8741-97A2-793B71DDF7A5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" i="1" l="1"/>
  <c r="AD4" i="1"/>
  <c r="AD5" i="1"/>
  <c r="AD6" i="1"/>
  <c r="AD7" i="1"/>
  <c r="AD8" i="1"/>
  <c r="AD9" i="1"/>
  <c r="AD10" i="1"/>
  <c r="AD11" i="1"/>
  <c r="AD2" i="1"/>
  <c r="AC3" i="1"/>
  <c r="AC4" i="1"/>
  <c r="AC5" i="1"/>
  <c r="AC6" i="1"/>
  <c r="AC7" i="1"/>
  <c r="AC8" i="1"/>
  <c r="AC9" i="1"/>
  <c r="AC10" i="1"/>
  <c r="AC11" i="1"/>
  <c r="AC2" i="1"/>
  <c r="AB6" i="1"/>
  <c r="AB7" i="1"/>
  <c r="AA3" i="1"/>
  <c r="AB3" i="1" s="1"/>
  <c r="AA4" i="1"/>
  <c r="AB4" i="1" s="1"/>
  <c r="AA5" i="1"/>
  <c r="AB5" i="1" s="1"/>
  <c r="AA6" i="1"/>
  <c r="AA7" i="1"/>
  <c r="AA8" i="1"/>
  <c r="AB8" i="1" s="1"/>
  <c r="AA9" i="1"/>
  <c r="AB9" i="1" s="1"/>
  <c r="AA10" i="1"/>
  <c r="AB10" i="1" s="1"/>
  <c r="AA11" i="1"/>
  <c r="AB11" i="1" s="1"/>
  <c r="AA2" i="1"/>
  <c r="AB2" i="1" s="1"/>
  <c r="Z6" i="1"/>
  <c r="Z7" i="1"/>
  <c r="Y3" i="1"/>
  <c r="Z3" i="1" s="1"/>
  <c r="Y4" i="1"/>
  <c r="Z4" i="1" s="1"/>
  <c r="Y5" i="1"/>
  <c r="Z5" i="1" s="1"/>
  <c r="Y6" i="1"/>
  <c r="Y7" i="1"/>
  <c r="Y8" i="1"/>
  <c r="Z8" i="1" s="1"/>
  <c r="Y9" i="1"/>
  <c r="Z9" i="1" s="1"/>
  <c r="Y10" i="1"/>
  <c r="Z10" i="1" s="1"/>
  <c r="Y11" i="1"/>
  <c r="Z11" i="1" s="1"/>
  <c r="Y2" i="1"/>
  <c r="Z2" i="1" s="1"/>
  <c r="W2" i="1"/>
  <c r="X2" i="1" s="1"/>
  <c r="X9" i="1"/>
  <c r="W3" i="1"/>
  <c r="X3" i="1" s="1"/>
  <c r="W4" i="1"/>
  <c r="X4" i="1" s="1"/>
  <c r="W5" i="1"/>
  <c r="X5" i="1" s="1"/>
  <c r="W6" i="1"/>
  <c r="X6" i="1" s="1"/>
  <c r="W7" i="1"/>
  <c r="X7" i="1" s="1"/>
  <c r="W8" i="1"/>
  <c r="X8" i="1" s="1"/>
  <c r="W9" i="1"/>
  <c r="W10" i="1"/>
  <c r="X10" i="1" s="1"/>
  <c r="W11" i="1"/>
  <c r="X11" i="1" s="1"/>
  <c r="U2" i="1"/>
  <c r="V2" i="1"/>
  <c r="V4" i="1"/>
  <c r="V6" i="1"/>
  <c r="V7" i="1"/>
  <c r="U3" i="1"/>
  <c r="V3" i="1" s="1"/>
  <c r="U4" i="1"/>
  <c r="U5" i="1"/>
  <c r="V5" i="1" s="1"/>
  <c r="U6" i="1"/>
  <c r="U7" i="1"/>
  <c r="U8" i="1"/>
  <c r="V8" i="1" s="1"/>
  <c r="U9" i="1"/>
  <c r="V9" i="1" s="1"/>
  <c r="U10" i="1"/>
  <c r="V10" i="1" s="1"/>
  <c r="U11" i="1"/>
  <c r="V11" i="1" s="1"/>
  <c r="S3" i="1"/>
  <c r="T3" i="1" s="1"/>
  <c r="S4" i="1"/>
  <c r="T4" i="1" s="1"/>
  <c r="S5" i="1"/>
  <c r="T5" i="1" s="1"/>
  <c r="S6" i="1"/>
  <c r="T6" i="1" s="1"/>
  <c r="S7" i="1"/>
  <c r="T7" i="1" s="1"/>
  <c r="S8" i="1"/>
  <c r="T8" i="1" s="1"/>
  <c r="S9" i="1"/>
  <c r="T9" i="1" s="1"/>
  <c r="S10" i="1"/>
  <c r="T10" i="1" s="1"/>
  <c r="S11" i="1"/>
  <c r="T11" i="1" s="1"/>
  <c r="S2" i="1"/>
  <c r="T2" i="1" s="1"/>
  <c r="Q3" i="1"/>
  <c r="R3" i="1"/>
  <c r="Q4" i="1"/>
  <c r="R4" i="1"/>
  <c r="Q5" i="1"/>
  <c r="R5" i="1"/>
  <c r="Q6" i="1"/>
  <c r="R6" i="1" s="1"/>
  <c r="Q7" i="1"/>
  <c r="R7" i="1"/>
  <c r="Q8" i="1"/>
  <c r="R8" i="1" s="1"/>
  <c r="Q9" i="1"/>
  <c r="R9" i="1"/>
  <c r="Q10" i="1"/>
  <c r="R10" i="1" s="1"/>
  <c r="Q11" i="1"/>
  <c r="R11" i="1"/>
  <c r="Q2" i="1"/>
  <c r="R2" i="1" s="1"/>
  <c r="O2" i="1"/>
  <c r="P2" i="1" s="1"/>
  <c r="O3" i="1"/>
  <c r="P3" i="1"/>
  <c r="O4" i="1"/>
  <c r="P4" i="1" s="1"/>
  <c r="O5" i="1"/>
  <c r="P5" i="1" s="1"/>
  <c r="O6" i="1"/>
  <c r="P6" i="1"/>
  <c r="O7" i="1"/>
  <c r="P7" i="1" s="1"/>
  <c r="O8" i="1"/>
  <c r="P8" i="1" s="1"/>
  <c r="O9" i="1"/>
  <c r="P9" i="1" s="1"/>
  <c r="O10" i="1"/>
  <c r="P10" i="1"/>
  <c r="O11" i="1"/>
  <c r="P11" i="1"/>
</calcChain>
</file>

<file path=xl/sharedStrings.xml><?xml version="1.0" encoding="utf-8"?>
<sst xmlns="http://schemas.openxmlformats.org/spreadsheetml/2006/main" count="40" uniqueCount="36">
  <si>
    <t>poison_rate</t>
  </si>
  <si>
    <t>poison_rate_pct</t>
  </si>
  <si>
    <t>trigger_size</t>
  </si>
  <si>
    <t>config_id</t>
  </si>
  <si>
    <t>clean_accuracy</t>
  </si>
  <si>
    <t>clean_f1</t>
  </si>
  <si>
    <t>backdoor_accuracy</t>
  </si>
  <si>
    <t>backdoor_f1</t>
  </si>
  <si>
    <t>iso_accuracy</t>
  </si>
  <si>
    <t>iso_f1</t>
  </si>
  <si>
    <t>pruned_accuracy</t>
  </si>
  <si>
    <t>pruned_f1</t>
  </si>
  <si>
    <t>noisy_accuracy</t>
  </si>
  <si>
    <t>noisy_f1</t>
  </si>
  <si>
    <t>P1_T16</t>
  </si>
  <si>
    <t>P1_T32</t>
  </si>
  <si>
    <t>P1_T48</t>
  </si>
  <si>
    <t>P1_T64</t>
  </si>
  <si>
    <t>P1_T128</t>
  </si>
  <si>
    <t>P3_T16</t>
  </si>
  <si>
    <t>P3_T32</t>
  </si>
  <si>
    <t>P3_T48</t>
  </si>
  <si>
    <t>P3_T64</t>
  </si>
  <si>
    <t>P3_T128</t>
  </si>
  <si>
    <t>diff acc</t>
  </si>
  <si>
    <t>diff acc prc</t>
  </si>
  <si>
    <t>diff f1 pec</t>
  </si>
  <si>
    <t>iso acc diff</t>
  </si>
  <si>
    <t>iso acc ptc</t>
  </si>
  <si>
    <t>iso f1 diff</t>
  </si>
  <si>
    <t>iso f1 pec</t>
  </si>
  <si>
    <t>pruned acc diff</t>
  </si>
  <si>
    <t>pruned acc dif pct</t>
  </si>
  <si>
    <t>diff f1</t>
  </si>
  <si>
    <t>pruned f1 diff</t>
  </si>
  <si>
    <t>pruned f1 prt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</si>
</sst>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0"/>
    <numFmt numFmtId="169" formatCode="0.000000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/>
      <top style="medium">
        <color theme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theme="1"/>
      </bottom>
      <diagonal/>
    </border>
    <border>
      <left/>
      <right style="thin">
        <color indexed="64"/>
      </right>
      <top style="medium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theme="1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medium">
        <color theme="1"/>
      </top>
      <bottom/>
      <diagonal/>
    </border>
    <border>
      <left style="thin">
        <color indexed="64"/>
      </left>
      <right style="medium">
        <color theme="1"/>
      </right>
      <top style="medium">
        <color theme="1"/>
      </top>
      <bottom/>
      <diagonal/>
    </border>
    <border>
      <left/>
      <right style="thin">
        <color indexed="64"/>
      </right>
      <top style="medium">
        <color theme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1">
    <xf numFmtId="0" fontId="0" fillId="0" borderId="0" xfId="0"/>
    <xf numFmtId="2" fontId="0" fillId="0" borderId="0" xfId="0" applyNumberFormat="1"/>
    <xf numFmtId="2" fontId="0" fillId="0" borderId="1" xfId="0" applyNumberFormat="1" applyBorder="1"/>
    <xf numFmtId="169" fontId="0" fillId="4" borderId="1" xfId="0" applyNumberFormat="1" applyFill="1" applyBorder="1"/>
    <xf numFmtId="169" fontId="0" fillId="3" borderId="1" xfId="0" applyNumberFormat="1" applyFill="1" applyBorder="1"/>
    <xf numFmtId="169" fontId="0" fillId="5" borderId="1" xfId="0" applyNumberFormat="1" applyFill="1" applyBorder="1"/>
    <xf numFmtId="169" fontId="0" fillId="6" borderId="1" xfId="0" applyNumberFormat="1" applyFill="1" applyBorder="1"/>
    <xf numFmtId="169" fontId="0" fillId="7" borderId="1" xfId="0" applyNumberFormat="1" applyFill="1" applyBorder="1"/>
    <xf numFmtId="0" fontId="2" fillId="0" borderId="0" xfId="0" applyFont="1"/>
    <xf numFmtId="169" fontId="3" fillId="11" borderId="1" xfId="0" applyNumberFormat="1" applyFont="1" applyFill="1" applyBorder="1"/>
    <xf numFmtId="10" fontId="2" fillId="11" borderId="1" xfId="1" applyNumberFormat="1" applyFont="1" applyFill="1" applyBorder="1"/>
    <xf numFmtId="10" fontId="2" fillId="10" borderId="1" xfId="1" applyNumberFormat="1" applyFont="1" applyFill="1" applyBorder="1"/>
    <xf numFmtId="10" fontId="2" fillId="9" borderId="1" xfId="1" applyNumberFormat="1" applyFont="1" applyFill="1" applyBorder="1"/>
    <xf numFmtId="10" fontId="2" fillId="2" borderId="1" xfId="1" applyNumberFormat="1" applyFont="1" applyFill="1" applyBorder="1"/>
    <xf numFmtId="169" fontId="3" fillId="10" borderId="1" xfId="0" applyNumberFormat="1" applyFont="1" applyFill="1" applyBorder="1"/>
    <xf numFmtId="169" fontId="3" fillId="9" borderId="1" xfId="0" applyNumberFormat="1" applyFont="1" applyFill="1" applyBorder="1"/>
    <xf numFmtId="169" fontId="3" fillId="8" borderId="1" xfId="0" applyNumberFormat="1" applyFont="1" applyFill="1" applyBorder="1"/>
    <xf numFmtId="2" fontId="0" fillId="0" borderId="2" xfId="0" applyNumberFormat="1" applyBorder="1"/>
    <xf numFmtId="2" fontId="0" fillId="0" borderId="3" xfId="0" applyNumberFormat="1" applyBorder="1"/>
    <xf numFmtId="169" fontId="0" fillId="4" borderId="3" xfId="0" applyNumberFormat="1" applyFill="1" applyBorder="1"/>
    <xf numFmtId="169" fontId="0" fillId="3" borderId="3" xfId="0" applyNumberFormat="1" applyFill="1" applyBorder="1"/>
    <xf numFmtId="169" fontId="0" fillId="5" borderId="3" xfId="0" applyNumberFormat="1" applyFill="1" applyBorder="1"/>
    <xf numFmtId="169" fontId="0" fillId="6" borderId="3" xfId="0" applyNumberFormat="1" applyFill="1" applyBorder="1"/>
    <xf numFmtId="169" fontId="0" fillId="7" borderId="3" xfId="0" applyNumberFormat="1" applyFill="1" applyBorder="1"/>
    <xf numFmtId="10" fontId="2" fillId="2" borderId="3" xfId="1" applyNumberFormat="1" applyFont="1" applyFill="1" applyBorder="1"/>
    <xf numFmtId="169" fontId="3" fillId="8" borderId="3" xfId="0" applyNumberFormat="1" applyFont="1" applyFill="1" applyBorder="1"/>
    <xf numFmtId="169" fontId="3" fillId="9" borderId="3" xfId="0" applyNumberFormat="1" applyFont="1" applyFill="1" applyBorder="1"/>
    <xf numFmtId="10" fontId="2" fillId="9" borderId="3" xfId="1" applyNumberFormat="1" applyFont="1" applyFill="1" applyBorder="1"/>
    <xf numFmtId="169" fontId="3" fillId="10" borderId="3" xfId="0" applyNumberFormat="1" applyFont="1" applyFill="1" applyBorder="1"/>
    <xf numFmtId="10" fontId="2" fillId="10" borderId="3" xfId="1" applyNumberFormat="1" applyFont="1" applyFill="1" applyBorder="1"/>
    <xf numFmtId="169" fontId="3" fillId="11" borderId="3" xfId="0" applyNumberFormat="1" applyFont="1" applyFill="1" applyBorder="1"/>
    <xf numFmtId="10" fontId="2" fillId="11" borderId="3" xfId="1" applyNumberFormat="1" applyFont="1" applyFill="1" applyBorder="1"/>
    <xf numFmtId="10" fontId="2" fillId="11" borderId="4" xfId="1" applyNumberFormat="1" applyFont="1" applyFill="1" applyBorder="1"/>
    <xf numFmtId="2" fontId="0" fillId="0" borderId="5" xfId="0" applyNumberFormat="1" applyBorder="1"/>
    <xf numFmtId="10" fontId="2" fillId="11" borderId="6" xfId="1" applyNumberFormat="1" applyFont="1" applyFill="1" applyBorder="1"/>
    <xf numFmtId="2" fontId="0" fillId="0" borderId="7" xfId="0" applyNumberFormat="1" applyBorder="1"/>
    <xf numFmtId="2" fontId="0" fillId="0" borderId="8" xfId="0" applyNumberFormat="1" applyBorder="1"/>
    <xf numFmtId="169" fontId="0" fillId="4" borderId="8" xfId="0" applyNumberFormat="1" applyFill="1" applyBorder="1"/>
    <xf numFmtId="169" fontId="0" fillId="3" borderId="8" xfId="0" applyNumberFormat="1" applyFill="1" applyBorder="1"/>
    <xf numFmtId="169" fontId="0" fillId="5" borderId="8" xfId="0" applyNumberFormat="1" applyFill="1" applyBorder="1"/>
    <xf numFmtId="169" fontId="0" fillId="6" borderId="8" xfId="0" applyNumberFormat="1" applyFill="1" applyBorder="1"/>
    <xf numFmtId="169" fontId="0" fillId="7" borderId="8" xfId="0" applyNumberFormat="1" applyFill="1" applyBorder="1"/>
    <xf numFmtId="10" fontId="2" fillId="2" borderId="8" xfId="1" applyNumberFormat="1" applyFont="1" applyFill="1" applyBorder="1"/>
    <xf numFmtId="169" fontId="3" fillId="8" borderId="8" xfId="0" applyNumberFormat="1" applyFont="1" applyFill="1" applyBorder="1"/>
    <xf numFmtId="169" fontId="3" fillId="9" borderId="8" xfId="0" applyNumberFormat="1" applyFont="1" applyFill="1" applyBorder="1"/>
    <xf numFmtId="10" fontId="2" fillId="9" borderId="8" xfId="1" applyNumberFormat="1" applyFont="1" applyFill="1" applyBorder="1"/>
    <xf numFmtId="169" fontId="3" fillId="10" borderId="8" xfId="0" applyNumberFormat="1" applyFont="1" applyFill="1" applyBorder="1"/>
    <xf numFmtId="10" fontId="2" fillId="10" borderId="8" xfId="1" applyNumberFormat="1" applyFont="1" applyFill="1" applyBorder="1"/>
    <xf numFmtId="169" fontId="3" fillId="11" borderId="8" xfId="0" applyNumberFormat="1" applyFont="1" applyFill="1" applyBorder="1"/>
    <xf numFmtId="10" fontId="2" fillId="11" borderId="8" xfId="1" applyNumberFormat="1" applyFont="1" applyFill="1" applyBorder="1"/>
    <xf numFmtId="10" fontId="2" fillId="11" borderId="9" xfId="1" applyNumberFormat="1" applyFont="1" applyFill="1" applyBorder="1"/>
    <xf numFmtId="0" fontId="2" fillId="0" borderId="2" xfId="0" applyFont="1" applyBorder="1"/>
    <xf numFmtId="0" fontId="2" fillId="0" borderId="3" xfId="0" applyFont="1" applyBorder="1"/>
    <xf numFmtId="0" fontId="2" fillId="0" borderId="10" xfId="0" applyFont="1" applyBorder="1"/>
    <xf numFmtId="169" fontId="0" fillId="7" borderId="11" xfId="0" applyNumberFormat="1" applyFill="1" applyBorder="1"/>
    <xf numFmtId="169" fontId="0" fillId="7" borderId="12" xfId="0" applyNumberFormat="1" applyFill="1" applyBorder="1"/>
    <xf numFmtId="169" fontId="0" fillId="7" borderId="10" xfId="0" applyNumberFormat="1" applyFill="1" applyBorder="1"/>
    <xf numFmtId="165" fontId="3" fillId="2" borderId="5" xfId="0" applyNumberFormat="1" applyFont="1" applyFill="1" applyBorder="1"/>
    <xf numFmtId="10" fontId="2" fillId="8" borderId="6" xfId="1" applyNumberFormat="1" applyFont="1" applyFill="1" applyBorder="1"/>
    <xf numFmtId="165" fontId="3" fillId="2" borderId="7" xfId="0" applyNumberFormat="1" applyFont="1" applyFill="1" applyBorder="1"/>
    <xf numFmtId="10" fontId="2" fillId="8" borderId="9" xfId="1" applyNumberFormat="1" applyFont="1" applyFill="1" applyBorder="1"/>
    <xf numFmtId="165" fontId="3" fillId="2" borderId="2" xfId="0" applyNumberFormat="1" applyFont="1" applyFill="1" applyBorder="1"/>
    <xf numFmtId="10" fontId="2" fillId="8" borderId="4" xfId="1" applyNumberFormat="1" applyFont="1" applyFill="1" applyBorder="1"/>
    <xf numFmtId="169" fontId="3" fillId="9" borderId="5" xfId="0" applyNumberFormat="1" applyFont="1" applyFill="1" applyBorder="1"/>
    <xf numFmtId="10" fontId="2" fillId="9" borderId="6" xfId="1" applyNumberFormat="1" applyFont="1" applyFill="1" applyBorder="1"/>
    <xf numFmtId="169" fontId="3" fillId="9" borderId="7" xfId="0" applyNumberFormat="1" applyFont="1" applyFill="1" applyBorder="1"/>
    <xf numFmtId="10" fontId="2" fillId="9" borderId="9" xfId="1" applyNumberFormat="1" applyFont="1" applyFill="1" applyBorder="1"/>
    <xf numFmtId="169" fontId="3" fillId="9" borderId="2" xfId="0" applyNumberFormat="1" applyFont="1" applyFill="1" applyBorder="1"/>
    <xf numFmtId="10" fontId="2" fillId="9" borderId="4" xfId="1" applyNumberFormat="1" applyFont="1" applyFill="1" applyBorder="1"/>
    <xf numFmtId="169" fontId="3" fillId="11" borderId="14" xfId="0" applyNumberFormat="1" applyFont="1" applyFill="1" applyBorder="1"/>
    <xf numFmtId="169" fontId="3" fillId="11" borderId="15" xfId="0" applyNumberFormat="1" applyFont="1" applyFill="1" applyBorder="1"/>
    <xf numFmtId="169" fontId="3" fillId="11" borderId="13" xfId="0" applyNumberFormat="1" applyFont="1" applyFill="1" applyBorder="1"/>
    <xf numFmtId="169" fontId="3" fillId="10" borderId="5" xfId="0" applyNumberFormat="1" applyFont="1" applyFill="1" applyBorder="1"/>
    <xf numFmtId="10" fontId="2" fillId="10" borderId="6" xfId="1" applyNumberFormat="1" applyFont="1" applyFill="1" applyBorder="1"/>
    <xf numFmtId="169" fontId="3" fillId="10" borderId="7" xfId="0" applyNumberFormat="1" applyFont="1" applyFill="1" applyBorder="1"/>
    <xf numFmtId="10" fontId="2" fillId="10" borderId="9" xfId="1" applyNumberFormat="1" applyFont="1" applyFill="1" applyBorder="1"/>
    <xf numFmtId="169" fontId="3" fillId="10" borderId="2" xfId="0" applyNumberFormat="1" applyFont="1" applyFill="1" applyBorder="1"/>
    <xf numFmtId="10" fontId="2" fillId="10" borderId="4" xfId="1" applyNumberFormat="1" applyFont="1" applyFill="1" applyBorder="1"/>
    <xf numFmtId="0" fontId="2" fillId="2" borderId="16" xfId="0" applyFont="1" applyFill="1" applyBorder="1"/>
    <xf numFmtId="0" fontId="2" fillId="2" borderId="17" xfId="0" applyFont="1" applyFill="1" applyBorder="1"/>
    <xf numFmtId="0" fontId="2" fillId="8" borderId="17" xfId="0" applyFont="1" applyFill="1" applyBorder="1"/>
    <xf numFmtId="0" fontId="2" fillId="8" borderId="18" xfId="0" applyFont="1" applyFill="1" applyBorder="1"/>
    <xf numFmtId="0" fontId="2" fillId="9" borderId="16" xfId="0" applyFont="1" applyFill="1" applyBorder="1"/>
    <xf numFmtId="0" fontId="2" fillId="9" borderId="17" xfId="0" applyFont="1" applyFill="1" applyBorder="1"/>
    <xf numFmtId="0" fontId="2" fillId="9" borderId="18" xfId="0" applyFont="1" applyFill="1" applyBorder="1"/>
    <xf numFmtId="0" fontId="2" fillId="10" borderId="16" xfId="0" applyFont="1" applyFill="1" applyBorder="1"/>
    <xf numFmtId="0" fontId="2" fillId="10" borderId="17" xfId="0" applyFont="1" applyFill="1" applyBorder="1"/>
    <xf numFmtId="0" fontId="2" fillId="10" borderId="18" xfId="0" applyFont="1" applyFill="1" applyBorder="1"/>
    <xf numFmtId="0" fontId="2" fillId="11" borderId="19" xfId="0" applyFont="1" applyFill="1" applyBorder="1"/>
    <xf numFmtId="0" fontId="2" fillId="11" borderId="17" xfId="0" applyFont="1" applyFill="1" applyBorder="1"/>
    <xf numFmtId="0" fontId="2" fillId="11" borderId="18" xfId="0" applyFont="1" applyFill="1" applyBorder="1"/>
  </cellXfs>
  <cellStyles count="2">
    <cellStyle name="Normale" xfId="0" builtinId="0"/>
    <cellStyle name="Percentual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A8B3D-E95D-514E-ADEB-99A46249108E}">
  <dimension ref="A1:AD12"/>
  <sheetViews>
    <sheetView tabSelected="1" topLeftCell="Q1" workbookViewId="0">
      <selection activeCell="AD6" sqref="AD6"/>
    </sheetView>
  </sheetViews>
  <sheetFormatPr baseColWidth="10" defaultRowHeight="16" x14ac:dyDescent="0.2"/>
  <cols>
    <col min="1" max="1" width="10.6640625" customWidth="1"/>
    <col min="20" max="20" width="11.33203125" bestFit="1" customWidth="1"/>
    <col min="22" max="22" width="11.5" customWidth="1"/>
    <col min="23" max="23" width="13" customWidth="1"/>
    <col min="24" max="24" width="15" customWidth="1"/>
    <col min="25" max="25" width="12" customWidth="1"/>
  </cols>
  <sheetData>
    <row r="1" spans="1:30" s="8" customFormat="1" ht="17" thickBot="1" x14ac:dyDescent="0.25">
      <c r="A1" s="51" t="s">
        <v>0</v>
      </c>
      <c r="B1" s="52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6</v>
      </c>
      <c r="H1" s="52" t="s">
        <v>7</v>
      </c>
      <c r="I1" s="52" t="s">
        <v>8</v>
      </c>
      <c r="J1" s="52" t="s">
        <v>9</v>
      </c>
      <c r="K1" s="52" t="s">
        <v>10</v>
      </c>
      <c r="L1" s="52" t="s">
        <v>11</v>
      </c>
      <c r="M1" s="52" t="s">
        <v>12</v>
      </c>
      <c r="N1" s="53" t="s">
        <v>13</v>
      </c>
      <c r="O1" s="78" t="s">
        <v>24</v>
      </c>
      <c r="P1" s="79" t="s">
        <v>25</v>
      </c>
      <c r="Q1" s="80" t="s">
        <v>33</v>
      </c>
      <c r="R1" s="81" t="s">
        <v>26</v>
      </c>
      <c r="S1" s="82" t="s">
        <v>27</v>
      </c>
      <c r="T1" s="83" t="s">
        <v>28</v>
      </c>
      <c r="U1" s="83" t="s">
        <v>29</v>
      </c>
      <c r="V1" s="84" t="s">
        <v>30</v>
      </c>
      <c r="W1" s="85" t="s">
        <v>31</v>
      </c>
      <c r="X1" s="86" t="s">
        <v>32</v>
      </c>
      <c r="Y1" s="86" t="s">
        <v>34</v>
      </c>
      <c r="Z1" s="87" t="s">
        <v>35</v>
      </c>
      <c r="AA1" s="88" t="s">
        <v>31</v>
      </c>
      <c r="AB1" s="89" t="s">
        <v>32</v>
      </c>
      <c r="AC1" s="89" t="s">
        <v>34</v>
      </c>
      <c r="AD1" s="90" t="s">
        <v>35</v>
      </c>
    </row>
    <row r="2" spans="1:30" x14ac:dyDescent="0.2">
      <c r="A2" s="33">
        <v>0.01</v>
      </c>
      <c r="B2" s="2">
        <v>1</v>
      </c>
      <c r="C2" s="2">
        <v>16</v>
      </c>
      <c r="D2" s="2" t="s">
        <v>14</v>
      </c>
      <c r="E2" s="3">
        <v>0.60487999999999997</v>
      </c>
      <c r="F2" s="3">
        <v>0.70804500000000004</v>
      </c>
      <c r="G2" s="4">
        <v>0.721885</v>
      </c>
      <c r="H2" s="4">
        <v>0.76161500000000004</v>
      </c>
      <c r="I2" s="5">
        <v>0.73694000000000004</v>
      </c>
      <c r="J2" s="5">
        <v>0.77039199999999997</v>
      </c>
      <c r="K2" s="6">
        <v>0.62717000000000001</v>
      </c>
      <c r="L2" s="6">
        <v>0.455094</v>
      </c>
      <c r="M2" s="7">
        <v>0.50024000000000002</v>
      </c>
      <c r="N2" s="54">
        <v>0.66677299999999995</v>
      </c>
      <c r="O2" s="61">
        <f>G2-E2</f>
        <v>0.11700500000000003</v>
      </c>
      <c r="P2" s="24">
        <f>O2/E2</f>
        <v>0.19343506149980166</v>
      </c>
      <c r="Q2" s="25">
        <f>H2-F2</f>
        <v>5.3570000000000007E-2</v>
      </c>
      <c r="R2" s="62">
        <f>Q2/F2</f>
        <v>7.5659032971068227E-2</v>
      </c>
      <c r="S2" s="67">
        <f>I2-G2</f>
        <v>1.5055000000000041E-2</v>
      </c>
      <c r="T2" s="27">
        <f>S2/G2</f>
        <v>2.0855122353283476E-2</v>
      </c>
      <c r="U2" s="26">
        <f>J2-H2</f>
        <v>8.7769999999999238E-3</v>
      </c>
      <c r="V2" s="68">
        <f>U2/H2</f>
        <v>1.1524195295523228E-2</v>
      </c>
      <c r="W2" s="76">
        <f>K2-G2</f>
        <v>-9.4714999999999994E-2</v>
      </c>
      <c r="X2" s="29">
        <f>W2/G2</f>
        <v>-0.131205108846977</v>
      </c>
      <c r="Y2" s="28">
        <f>L2-H2</f>
        <v>-0.30652100000000004</v>
      </c>
      <c r="Z2" s="77">
        <f>Y2/H2</f>
        <v>-0.40246187378137249</v>
      </c>
      <c r="AA2" s="71">
        <f>M2-G2</f>
        <v>-0.22164499999999998</v>
      </c>
      <c r="AB2" s="31">
        <f>AA2/G2</f>
        <v>-0.30703643932205266</v>
      </c>
      <c r="AC2" s="30">
        <f>N2-H2</f>
        <v>-9.4842000000000093E-2</v>
      </c>
      <c r="AD2" s="32">
        <f>AC2/H2</f>
        <v>-0.12452748435889535</v>
      </c>
    </row>
    <row r="3" spans="1:30" x14ac:dyDescent="0.2">
      <c r="A3" s="33">
        <v>0.01</v>
      </c>
      <c r="B3" s="2">
        <v>1</v>
      </c>
      <c r="C3" s="2">
        <v>32</v>
      </c>
      <c r="D3" s="2" t="s">
        <v>15</v>
      </c>
      <c r="E3" s="3">
        <v>0.70181000000000004</v>
      </c>
      <c r="F3" s="3">
        <v>0.75180199999999997</v>
      </c>
      <c r="G3" s="4">
        <v>0.63866999999999996</v>
      </c>
      <c r="H3" s="4">
        <v>0.71135199999999998</v>
      </c>
      <c r="I3" s="5">
        <v>0.71808499999999997</v>
      </c>
      <c r="J3" s="5">
        <v>0.75431300000000001</v>
      </c>
      <c r="K3" s="6">
        <v>0.61273999999999995</v>
      </c>
      <c r="L3" s="6">
        <v>0.47103600000000001</v>
      </c>
      <c r="M3" s="7">
        <v>0.50658999999999998</v>
      </c>
      <c r="N3" s="54">
        <v>0.66956199999999999</v>
      </c>
      <c r="O3" s="57">
        <f t="shared" ref="O3:O11" si="0">G3-E3</f>
        <v>-6.3140000000000085E-2</v>
      </c>
      <c r="P3" s="13">
        <f t="shared" ref="P3:P11" si="1">O3/E3</f>
        <v>-8.9967370085920803E-2</v>
      </c>
      <c r="Q3" s="16">
        <f t="shared" ref="Q3:Q11" si="2">H3-F3</f>
        <v>-4.0449999999999986E-2</v>
      </c>
      <c r="R3" s="58">
        <f t="shared" ref="R3:R11" si="3">Q3/F3</f>
        <v>-5.3804060111571912E-2</v>
      </c>
      <c r="S3" s="63">
        <f t="shared" ref="S3:S11" si="4">I3-G3</f>
        <v>7.9415000000000013E-2</v>
      </c>
      <c r="T3" s="12">
        <f t="shared" ref="T3:T11" si="5">S3/G3</f>
        <v>0.1243443405827736</v>
      </c>
      <c r="U3" s="15">
        <f t="shared" ref="U3:U11" si="6">J3-H3</f>
        <v>4.2961000000000027E-2</v>
      </c>
      <c r="V3" s="64">
        <f t="shared" ref="V3:V11" si="7">U3/H3</f>
        <v>6.0393447969500372E-2</v>
      </c>
      <c r="W3" s="72">
        <f t="shared" ref="W3:W11" si="8">K3-G3</f>
        <v>-2.5930000000000009E-2</v>
      </c>
      <c r="X3" s="11">
        <f t="shared" ref="X3:X11" si="9">W3/G3</f>
        <v>-4.0599996868492354E-2</v>
      </c>
      <c r="Y3" s="14">
        <f t="shared" ref="Y3:Y11" si="10">L3-H3</f>
        <v>-0.24031599999999997</v>
      </c>
      <c r="Z3" s="73">
        <f t="shared" ref="Z3:Z11" si="11">Y3/H3</f>
        <v>-0.33782993510948162</v>
      </c>
      <c r="AA3" s="69">
        <f t="shared" ref="AA3:AA11" si="12">M3-G3</f>
        <v>-0.13207999999999998</v>
      </c>
      <c r="AB3" s="10">
        <f t="shared" ref="AB3:AB11" si="13">AA3/G3</f>
        <v>-0.20680476615466514</v>
      </c>
      <c r="AC3" s="9">
        <f t="shared" ref="AC3:AC11" si="14">N3-H3</f>
        <v>-4.1789999999999994E-2</v>
      </c>
      <c r="AD3" s="34">
        <f t="shared" ref="AD3:AD11" si="15">AC3/H3</f>
        <v>-5.8747286856577326E-2</v>
      </c>
    </row>
    <row r="4" spans="1:30" x14ac:dyDescent="0.2">
      <c r="A4" s="33">
        <v>0.01</v>
      </c>
      <c r="B4" s="2">
        <v>1</v>
      </c>
      <c r="C4" s="2">
        <v>48</v>
      </c>
      <c r="D4" s="2" t="s">
        <v>16</v>
      </c>
      <c r="E4" s="3">
        <v>0.71335000000000004</v>
      </c>
      <c r="F4" s="3">
        <v>0.75804000000000005</v>
      </c>
      <c r="G4" s="4">
        <v>0.61909000000000003</v>
      </c>
      <c r="H4" s="4">
        <v>0.718472</v>
      </c>
      <c r="I4" s="5">
        <v>0.65986999999999996</v>
      </c>
      <c r="J4" s="5">
        <v>0.73853000000000002</v>
      </c>
      <c r="K4" s="6">
        <v>0.61708499999999999</v>
      </c>
      <c r="L4" s="6">
        <v>0.469084</v>
      </c>
      <c r="M4" s="7">
        <v>0.50057499999999999</v>
      </c>
      <c r="N4" s="54">
        <v>0.66687300000000005</v>
      </c>
      <c r="O4" s="57">
        <f t="shared" si="0"/>
        <v>-9.426000000000001E-2</v>
      </c>
      <c r="P4" s="13">
        <f t="shared" si="1"/>
        <v>-0.13213709960047662</v>
      </c>
      <c r="Q4" s="16">
        <f t="shared" si="2"/>
        <v>-3.9568000000000048E-2</v>
      </c>
      <c r="R4" s="58">
        <f t="shared" si="3"/>
        <v>-5.2197773204580293E-2</v>
      </c>
      <c r="S4" s="63">
        <f t="shared" si="4"/>
        <v>4.0779999999999927E-2</v>
      </c>
      <c r="T4" s="12">
        <f t="shared" si="5"/>
        <v>6.5870874993942605E-2</v>
      </c>
      <c r="U4" s="15">
        <f t="shared" si="6"/>
        <v>2.005800000000002E-2</v>
      </c>
      <c r="V4" s="64">
        <f t="shared" si="7"/>
        <v>2.7917580643365393E-2</v>
      </c>
      <c r="W4" s="72">
        <f t="shared" si="8"/>
        <v>-2.0050000000000345E-3</v>
      </c>
      <c r="X4" s="11">
        <f t="shared" si="9"/>
        <v>-3.2386244326350522E-3</v>
      </c>
      <c r="Y4" s="14">
        <f t="shared" si="10"/>
        <v>-0.249388</v>
      </c>
      <c r="Z4" s="73">
        <f t="shared" si="11"/>
        <v>-0.34710886436771371</v>
      </c>
      <c r="AA4" s="69">
        <f t="shared" si="12"/>
        <v>-0.11851500000000004</v>
      </c>
      <c r="AB4" s="10">
        <f t="shared" si="13"/>
        <v>-0.1914342018123375</v>
      </c>
      <c r="AC4" s="9">
        <f t="shared" si="14"/>
        <v>-5.159899999999995E-2</v>
      </c>
      <c r="AD4" s="34">
        <f t="shared" si="15"/>
        <v>-7.1817690877306217E-2</v>
      </c>
    </row>
    <row r="5" spans="1:30" x14ac:dyDescent="0.2">
      <c r="A5" s="33">
        <v>0.01</v>
      </c>
      <c r="B5" s="2">
        <v>1</v>
      </c>
      <c r="C5" s="2">
        <v>64</v>
      </c>
      <c r="D5" s="2" t="s">
        <v>17</v>
      </c>
      <c r="E5" s="3">
        <v>0.67930000000000001</v>
      </c>
      <c r="F5" s="3">
        <v>0.74662600000000001</v>
      </c>
      <c r="G5" s="4">
        <v>0.58650000000000002</v>
      </c>
      <c r="H5" s="4">
        <v>0.70396199999999998</v>
      </c>
      <c r="I5" s="5">
        <v>0.75325500000000001</v>
      </c>
      <c r="J5" s="5">
        <v>0.78165799999999996</v>
      </c>
      <c r="K5" s="6">
        <v>0.71203499999999997</v>
      </c>
      <c r="L5" s="6">
        <v>0.68218800000000002</v>
      </c>
      <c r="M5" s="7">
        <v>0.50144</v>
      </c>
      <c r="N5" s="54">
        <v>0.66728500000000002</v>
      </c>
      <c r="O5" s="57">
        <f t="shared" si="0"/>
        <v>-9.2799999999999994E-2</v>
      </c>
      <c r="P5" s="13">
        <f t="shared" si="1"/>
        <v>-0.13661121742970703</v>
      </c>
      <c r="Q5" s="16">
        <f t="shared" si="2"/>
        <v>-4.2664000000000035E-2</v>
      </c>
      <c r="R5" s="58">
        <f t="shared" si="3"/>
        <v>-5.714239793417325E-2</v>
      </c>
      <c r="S5" s="63">
        <f t="shared" si="4"/>
        <v>0.16675499999999999</v>
      </c>
      <c r="T5" s="12">
        <f t="shared" si="5"/>
        <v>0.28432225063938615</v>
      </c>
      <c r="U5" s="15">
        <f t="shared" si="6"/>
        <v>7.7695999999999987E-2</v>
      </c>
      <c r="V5" s="64">
        <f t="shared" si="7"/>
        <v>0.11036959381330241</v>
      </c>
      <c r="W5" s="72">
        <f t="shared" si="8"/>
        <v>0.12553499999999995</v>
      </c>
      <c r="X5" s="11">
        <f t="shared" si="9"/>
        <v>0.21404092071611244</v>
      </c>
      <c r="Y5" s="14">
        <f t="shared" si="10"/>
        <v>-2.177399999999996E-2</v>
      </c>
      <c r="Z5" s="73">
        <f t="shared" si="11"/>
        <v>-3.0930646824686506E-2</v>
      </c>
      <c r="AA5" s="69">
        <f t="shared" si="12"/>
        <v>-8.5060000000000024E-2</v>
      </c>
      <c r="AB5" s="10">
        <f t="shared" si="13"/>
        <v>-0.14502983802216543</v>
      </c>
      <c r="AC5" s="9">
        <f t="shared" si="14"/>
        <v>-3.667699999999996E-2</v>
      </c>
      <c r="AD5" s="34">
        <f t="shared" si="15"/>
        <v>-5.2100823624002375E-2</v>
      </c>
    </row>
    <row r="6" spans="1:30" ht="17" thickBot="1" x14ac:dyDescent="0.25">
      <c r="A6" s="35">
        <v>0.01</v>
      </c>
      <c r="B6" s="36">
        <v>1</v>
      </c>
      <c r="C6" s="36">
        <v>128</v>
      </c>
      <c r="D6" s="36" t="s">
        <v>18</v>
      </c>
      <c r="E6" s="37">
        <v>0.65337500000000004</v>
      </c>
      <c r="F6" s="37">
        <v>0.72260800000000003</v>
      </c>
      <c r="G6" s="38">
        <v>0.65482499999999999</v>
      </c>
      <c r="H6" s="38">
        <v>0.73089199999999999</v>
      </c>
      <c r="I6" s="39">
        <v>0.61186499999999999</v>
      </c>
      <c r="J6" s="39">
        <v>0.71387100000000003</v>
      </c>
      <c r="K6" s="40">
        <v>0.61223499999999997</v>
      </c>
      <c r="L6" s="40">
        <v>0.40421299999999999</v>
      </c>
      <c r="M6" s="41">
        <v>0.50026999999999999</v>
      </c>
      <c r="N6" s="55">
        <v>0.66678700000000002</v>
      </c>
      <c r="O6" s="59">
        <f t="shared" si="0"/>
        <v>1.4499999999999513E-3</v>
      </c>
      <c r="P6" s="42">
        <f t="shared" si="1"/>
        <v>2.2192462215419187E-3</v>
      </c>
      <c r="Q6" s="43">
        <f t="shared" si="2"/>
        <v>8.2839999999999581E-3</v>
      </c>
      <c r="R6" s="60">
        <f t="shared" si="3"/>
        <v>1.1464030290281809E-2</v>
      </c>
      <c r="S6" s="65">
        <f t="shared" si="4"/>
        <v>-4.2959999999999998E-2</v>
      </c>
      <c r="T6" s="45">
        <f t="shared" si="5"/>
        <v>-6.5605314396976283E-2</v>
      </c>
      <c r="U6" s="44">
        <f t="shared" si="6"/>
        <v>-1.7020999999999953E-2</v>
      </c>
      <c r="V6" s="66">
        <f t="shared" si="7"/>
        <v>-2.3287982355806265E-2</v>
      </c>
      <c r="W6" s="74">
        <f t="shared" si="8"/>
        <v>-4.2590000000000017E-2</v>
      </c>
      <c r="X6" s="47">
        <f t="shared" si="9"/>
        <v>-6.504027793685338E-2</v>
      </c>
      <c r="Y6" s="46">
        <f t="shared" si="10"/>
        <v>-0.326679</v>
      </c>
      <c r="Z6" s="75">
        <f t="shared" si="11"/>
        <v>-0.44695933188487491</v>
      </c>
      <c r="AA6" s="70">
        <f t="shared" si="12"/>
        <v>-0.154555</v>
      </c>
      <c r="AB6" s="49">
        <f t="shared" si="13"/>
        <v>-0.23602489214675676</v>
      </c>
      <c r="AC6" s="48">
        <f t="shared" si="14"/>
        <v>-6.4104999999999968E-2</v>
      </c>
      <c r="AD6" s="50">
        <f t="shared" si="15"/>
        <v>-8.7707896652309741E-2</v>
      </c>
    </row>
    <row r="7" spans="1:30" x14ac:dyDescent="0.2">
      <c r="A7" s="17">
        <v>0.03</v>
      </c>
      <c r="B7" s="18">
        <v>3</v>
      </c>
      <c r="C7" s="18">
        <v>16</v>
      </c>
      <c r="D7" s="18" t="s">
        <v>19</v>
      </c>
      <c r="E7" s="19">
        <v>0.64185499999999995</v>
      </c>
      <c r="F7" s="19">
        <v>0.71614900000000004</v>
      </c>
      <c r="G7" s="20">
        <v>0.71093499999999998</v>
      </c>
      <c r="H7" s="20">
        <v>0.75436700000000001</v>
      </c>
      <c r="I7" s="21">
        <v>0.75882499999999997</v>
      </c>
      <c r="J7" s="21">
        <v>0.77795499999999995</v>
      </c>
      <c r="K7" s="22">
        <v>0.52282499999999998</v>
      </c>
      <c r="L7" s="22">
        <v>0.15160599999999999</v>
      </c>
      <c r="M7" s="23">
        <v>0.50007999999999997</v>
      </c>
      <c r="N7" s="56">
        <v>0.66670200000000002</v>
      </c>
      <c r="O7" s="61">
        <f t="shared" si="0"/>
        <v>6.908000000000003E-2</v>
      </c>
      <c r="P7" s="24">
        <f t="shared" si="1"/>
        <v>0.10762555405815961</v>
      </c>
      <c r="Q7" s="25">
        <f t="shared" si="2"/>
        <v>3.8217999999999974E-2</v>
      </c>
      <c r="R7" s="62">
        <f t="shared" si="3"/>
        <v>5.3365989479842842E-2</v>
      </c>
      <c r="S7" s="67">
        <f t="shared" si="4"/>
        <v>4.7889999999999988E-2</v>
      </c>
      <c r="T7" s="27">
        <f t="shared" si="5"/>
        <v>6.7361995119103707E-2</v>
      </c>
      <c r="U7" s="26">
        <f t="shared" si="6"/>
        <v>2.3587999999999942E-2</v>
      </c>
      <c r="V7" s="68">
        <f t="shared" si="7"/>
        <v>3.1268600031549555E-2</v>
      </c>
      <c r="W7" s="76">
        <f t="shared" si="8"/>
        <v>-0.18811</v>
      </c>
      <c r="X7" s="29">
        <f t="shared" si="9"/>
        <v>-0.26459521615900189</v>
      </c>
      <c r="Y7" s="28">
        <f t="shared" si="10"/>
        <v>-0.60276099999999999</v>
      </c>
      <c r="Z7" s="77">
        <f t="shared" si="11"/>
        <v>-0.79902885465562512</v>
      </c>
      <c r="AA7" s="71">
        <f t="shared" si="12"/>
        <v>-0.21085500000000001</v>
      </c>
      <c r="AB7" s="31">
        <f t="shared" si="13"/>
        <v>-0.29658829569510575</v>
      </c>
      <c r="AC7" s="30">
        <f t="shared" si="14"/>
        <v>-8.7664999999999993E-2</v>
      </c>
      <c r="AD7" s="32">
        <f t="shared" si="15"/>
        <v>-0.11621001448896888</v>
      </c>
    </row>
    <row r="8" spans="1:30" x14ac:dyDescent="0.2">
      <c r="A8" s="33">
        <v>0.03</v>
      </c>
      <c r="B8" s="2">
        <v>3</v>
      </c>
      <c r="C8" s="2">
        <v>32</v>
      </c>
      <c r="D8" s="2" t="s">
        <v>20</v>
      </c>
      <c r="E8" s="3">
        <v>0.71437499999999998</v>
      </c>
      <c r="F8" s="3">
        <v>0.75616300000000003</v>
      </c>
      <c r="G8" s="4">
        <v>0.69067500000000004</v>
      </c>
      <c r="H8" s="4">
        <v>0.75144900000000003</v>
      </c>
      <c r="I8" s="5">
        <v>0.750865</v>
      </c>
      <c r="J8" s="5">
        <v>0.77619000000000005</v>
      </c>
      <c r="K8" s="6">
        <v>0.61865000000000003</v>
      </c>
      <c r="L8" s="6">
        <v>0.421074</v>
      </c>
      <c r="M8" s="7">
        <v>0.50031499999999995</v>
      </c>
      <c r="N8" s="54">
        <v>0.66680700000000004</v>
      </c>
      <c r="O8" s="57">
        <f t="shared" si="0"/>
        <v>-2.3699999999999943E-2</v>
      </c>
      <c r="P8" s="13">
        <f t="shared" si="1"/>
        <v>-3.3175853018372628E-2</v>
      </c>
      <c r="Q8" s="16">
        <f t="shared" si="2"/>
        <v>-4.713999999999996E-3</v>
      </c>
      <c r="R8" s="58">
        <f t="shared" si="3"/>
        <v>-6.2341056095048236E-3</v>
      </c>
      <c r="S8" s="63">
        <f t="shared" si="4"/>
        <v>6.0189999999999966E-2</v>
      </c>
      <c r="T8" s="12">
        <f t="shared" si="5"/>
        <v>8.7146631918051123E-2</v>
      </c>
      <c r="U8" s="15">
        <f t="shared" si="6"/>
        <v>2.4741000000000013E-2</v>
      </c>
      <c r="V8" s="64">
        <f t="shared" si="7"/>
        <v>3.2924390078368608E-2</v>
      </c>
      <c r="W8" s="72">
        <f t="shared" si="8"/>
        <v>-7.2025000000000006E-2</v>
      </c>
      <c r="X8" s="11">
        <f t="shared" si="9"/>
        <v>-0.10428204292901871</v>
      </c>
      <c r="Y8" s="14">
        <f t="shared" si="10"/>
        <v>-0.33037500000000003</v>
      </c>
      <c r="Z8" s="73">
        <f t="shared" si="11"/>
        <v>-0.43965059505036275</v>
      </c>
      <c r="AA8" s="69">
        <f t="shared" si="12"/>
        <v>-0.19036000000000008</v>
      </c>
      <c r="AB8" s="10">
        <f t="shared" si="13"/>
        <v>-0.27561443515401612</v>
      </c>
      <c r="AC8" s="9">
        <f t="shared" si="14"/>
        <v>-8.4641999999999995E-2</v>
      </c>
      <c r="AD8" s="34">
        <f t="shared" si="15"/>
        <v>-0.11263838264473038</v>
      </c>
    </row>
    <row r="9" spans="1:30" x14ac:dyDescent="0.2">
      <c r="A9" s="33">
        <v>0.03</v>
      </c>
      <c r="B9" s="2">
        <v>3</v>
      </c>
      <c r="C9" s="2">
        <v>48</v>
      </c>
      <c r="D9" s="2" t="s">
        <v>21</v>
      </c>
      <c r="E9" s="3">
        <v>0.73041500000000004</v>
      </c>
      <c r="F9" s="3">
        <v>0.766011</v>
      </c>
      <c r="G9" s="4">
        <v>0.62183500000000003</v>
      </c>
      <c r="H9" s="4">
        <v>0.71893799999999997</v>
      </c>
      <c r="I9" s="5">
        <v>0.703515</v>
      </c>
      <c r="J9" s="5">
        <v>0.73353100000000004</v>
      </c>
      <c r="K9" s="6">
        <v>0.61924500000000005</v>
      </c>
      <c r="L9" s="6">
        <v>0.71881600000000001</v>
      </c>
      <c r="M9" s="7">
        <v>0.50173999999999996</v>
      </c>
      <c r="N9" s="54">
        <v>0.66740299999999997</v>
      </c>
      <c r="O9" s="57">
        <f t="shared" si="0"/>
        <v>-0.10858000000000001</v>
      </c>
      <c r="P9" s="13">
        <f t="shared" si="1"/>
        <v>-0.14865521655497219</v>
      </c>
      <c r="Q9" s="16">
        <f t="shared" si="2"/>
        <v>-4.7073000000000031E-2</v>
      </c>
      <c r="R9" s="58">
        <f t="shared" si="3"/>
        <v>-6.1452120139266972E-2</v>
      </c>
      <c r="S9" s="63">
        <f t="shared" si="4"/>
        <v>8.1679999999999975E-2</v>
      </c>
      <c r="T9" s="12">
        <f t="shared" si="5"/>
        <v>0.13135317246536457</v>
      </c>
      <c r="U9" s="15">
        <f t="shared" si="6"/>
        <v>1.4593000000000078E-2</v>
      </c>
      <c r="V9" s="64">
        <f t="shared" si="7"/>
        <v>2.0297995098325694E-2</v>
      </c>
      <c r="W9" s="72">
        <f t="shared" si="8"/>
        <v>-2.5899999999999812E-3</v>
      </c>
      <c r="X9" s="11">
        <f t="shared" si="9"/>
        <v>-4.1650920260197337E-3</v>
      </c>
      <c r="Y9" s="14">
        <f t="shared" si="10"/>
        <v>-1.2199999999995548E-4</v>
      </c>
      <c r="Z9" s="73">
        <f t="shared" si="11"/>
        <v>-1.696947441920659E-4</v>
      </c>
      <c r="AA9" s="69">
        <f t="shared" si="12"/>
        <v>-0.12009500000000006</v>
      </c>
      <c r="AB9" s="10">
        <f t="shared" si="13"/>
        <v>-0.19313001037252656</v>
      </c>
      <c r="AC9" s="9">
        <f t="shared" si="14"/>
        <v>-5.1534999999999997E-2</v>
      </c>
      <c r="AD9" s="34">
        <f t="shared" si="15"/>
        <v>-7.1682120015912357E-2</v>
      </c>
    </row>
    <row r="10" spans="1:30" x14ac:dyDescent="0.2">
      <c r="A10" s="33">
        <v>0.03</v>
      </c>
      <c r="B10" s="2">
        <v>3</v>
      </c>
      <c r="C10" s="2">
        <v>64</v>
      </c>
      <c r="D10" s="2" t="s">
        <v>22</v>
      </c>
      <c r="E10" s="3">
        <v>0.750915</v>
      </c>
      <c r="F10" s="3">
        <v>0.78066599999999997</v>
      </c>
      <c r="G10" s="4">
        <v>0.62207999999999997</v>
      </c>
      <c r="H10" s="4">
        <v>0.71757800000000005</v>
      </c>
      <c r="I10" s="5">
        <v>0.62312500000000004</v>
      </c>
      <c r="J10" s="5">
        <v>0.71776499999999999</v>
      </c>
      <c r="K10" s="6">
        <v>0.62283999999999995</v>
      </c>
      <c r="L10" s="6">
        <v>0.70111699999999999</v>
      </c>
      <c r="M10" s="7">
        <v>0.50002500000000005</v>
      </c>
      <c r="N10" s="54">
        <v>0.66667799999999999</v>
      </c>
      <c r="O10" s="57">
        <f t="shared" si="0"/>
        <v>-0.12883500000000003</v>
      </c>
      <c r="P10" s="13">
        <f t="shared" si="1"/>
        <v>-0.17157068376580575</v>
      </c>
      <c r="Q10" s="16">
        <f t="shared" si="2"/>
        <v>-6.3087999999999922E-2</v>
      </c>
      <c r="R10" s="58">
        <f t="shared" si="3"/>
        <v>-8.0813049370665468E-2</v>
      </c>
      <c r="S10" s="63">
        <f t="shared" si="4"/>
        <v>1.0450000000000736E-3</v>
      </c>
      <c r="T10" s="12">
        <f t="shared" si="5"/>
        <v>1.6798482510289251E-3</v>
      </c>
      <c r="U10" s="15">
        <f t="shared" si="6"/>
        <v>1.8699999999993722E-4</v>
      </c>
      <c r="V10" s="64">
        <f t="shared" si="7"/>
        <v>2.605988477906753E-4</v>
      </c>
      <c r="W10" s="72">
        <f t="shared" si="8"/>
        <v>7.5999999999998291E-4</v>
      </c>
      <c r="X10" s="11">
        <f t="shared" si="9"/>
        <v>1.2217078189300137E-3</v>
      </c>
      <c r="Y10" s="14">
        <f t="shared" si="10"/>
        <v>-1.6461000000000059E-2</v>
      </c>
      <c r="Z10" s="73">
        <f t="shared" si="11"/>
        <v>-2.2939666489217976E-2</v>
      </c>
      <c r="AA10" s="69">
        <f t="shared" si="12"/>
        <v>-0.12205499999999991</v>
      </c>
      <c r="AB10" s="10">
        <f t="shared" si="13"/>
        <v>-0.19620466820987642</v>
      </c>
      <c r="AC10" s="9">
        <f t="shared" si="14"/>
        <v>-5.0900000000000056E-2</v>
      </c>
      <c r="AD10" s="34">
        <f t="shared" si="15"/>
        <v>-7.0933055361229097E-2</v>
      </c>
    </row>
    <row r="11" spans="1:30" ht="17" thickBot="1" x14ac:dyDescent="0.25">
      <c r="A11" s="35">
        <v>0.03</v>
      </c>
      <c r="B11" s="36">
        <v>3</v>
      </c>
      <c r="C11" s="36">
        <v>128</v>
      </c>
      <c r="D11" s="36" t="s">
        <v>23</v>
      </c>
      <c r="E11" s="37">
        <v>0.70586000000000004</v>
      </c>
      <c r="F11" s="37">
        <v>0.76004000000000005</v>
      </c>
      <c r="G11" s="38">
        <v>0.71899500000000005</v>
      </c>
      <c r="H11" s="38">
        <v>0.75623600000000002</v>
      </c>
      <c r="I11" s="39">
        <v>0.708735</v>
      </c>
      <c r="J11" s="39">
        <v>0.76344999999999996</v>
      </c>
      <c r="K11" s="40">
        <v>0.63240499999999999</v>
      </c>
      <c r="L11" s="40">
        <v>0.72530499999999998</v>
      </c>
      <c r="M11" s="41">
        <v>0.50417000000000001</v>
      </c>
      <c r="N11" s="55">
        <v>0.66849899999999995</v>
      </c>
      <c r="O11" s="59">
        <f t="shared" si="0"/>
        <v>1.3135000000000008E-2</v>
      </c>
      <c r="P11" s="42">
        <f t="shared" si="1"/>
        <v>1.8608505936021317E-2</v>
      </c>
      <c r="Q11" s="43">
        <f t="shared" si="2"/>
        <v>-3.8040000000000296E-3</v>
      </c>
      <c r="R11" s="60">
        <f t="shared" si="3"/>
        <v>-5.0049997368559933E-3</v>
      </c>
      <c r="S11" s="65">
        <f t="shared" si="4"/>
        <v>-1.0260000000000047E-2</v>
      </c>
      <c r="T11" s="45">
        <f t="shared" si="5"/>
        <v>-1.4269918427805542E-2</v>
      </c>
      <c r="U11" s="44">
        <f t="shared" si="6"/>
        <v>7.2139999999999427E-3</v>
      </c>
      <c r="V11" s="66">
        <f t="shared" si="7"/>
        <v>9.5393501499531127E-3</v>
      </c>
      <c r="W11" s="74">
        <f t="shared" si="8"/>
        <v>-8.6590000000000056E-2</v>
      </c>
      <c r="X11" s="47">
        <f t="shared" si="9"/>
        <v>-0.12043199187755137</v>
      </c>
      <c r="Y11" s="46">
        <f t="shared" si="10"/>
        <v>-3.0931000000000042E-2</v>
      </c>
      <c r="Z11" s="75">
        <f t="shared" si="11"/>
        <v>-4.0901253047990367E-2</v>
      </c>
      <c r="AA11" s="70">
        <f t="shared" si="12"/>
        <v>-0.21482500000000004</v>
      </c>
      <c r="AB11" s="49">
        <f t="shared" si="13"/>
        <v>-0.29878510977127798</v>
      </c>
      <c r="AC11" s="48">
        <f t="shared" si="14"/>
        <v>-8.7737000000000065E-2</v>
      </c>
      <c r="AD11" s="50">
        <f t="shared" si="15"/>
        <v>-0.11601801554012248</v>
      </c>
    </row>
    <row r="12" spans="1:30" x14ac:dyDescent="0.2">
      <c r="G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Russo - daniele.russo17@studio.unibo.it</dc:creator>
  <cp:lastModifiedBy>Daniele Russo - daniele.russo17@studio.unibo.it</cp:lastModifiedBy>
  <dcterms:created xsi:type="dcterms:W3CDTF">2025-12-02T17:10:48Z</dcterms:created>
  <dcterms:modified xsi:type="dcterms:W3CDTF">2025-12-04T19:22:58Z</dcterms:modified>
</cp:coreProperties>
</file>